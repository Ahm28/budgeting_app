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ransactions" sheetId="2" r:id="rId5"/>
  </sheets>
  <definedNames>
    <definedName name="StartingBalance">#REF!</definedName>
    <definedName hidden="1" localSheetId="1" name="_xlnm._FilterDatabase">Transactions!$B$4:$H$95</definedName>
  </definedNames>
  <calcPr/>
</workbook>
</file>

<file path=xl/sharedStrings.xml><?xml version="1.0" encoding="utf-8"?>
<sst xmlns="http://schemas.openxmlformats.org/spreadsheetml/2006/main" count="560" uniqueCount="127">
  <si>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</si>
  <si>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</si>
  <si>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</si>
  <si>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</si>
  <si>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</si>
  <si>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</si>
  <si>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</si>
  <si>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>Expenses</t>
  </si>
  <si>
    <t>Income</t>
  </si>
  <si>
    <t>Planned</t>
  </si>
  <si>
    <t>Actual</t>
  </si>
  <si>
    <t>Account</t>
  </si>
  <si>
    <t>Savings Prev. Month</t>
  </si>
  <si>
    <t>Varience</t>
  </si>
  <si>
    <t>Totals</t>
  </si>
  <si>
    <t>Food &amp; Beverages</t>
  </si>
  <si>
    <t>Savings</t>
  </si>
  <si>
    <t>BCA</t>
  </si>
  <si>
    <t>Lunch</t>
  </si>
  <si>
    <t>Paycheck</t>
  </si>
  <si>
    <t>Mandiri</t>
  </si>
  <si>
    <t>Dinner</t>
  </si>
  <si>
    <t>Bonus</t>
  </si>
  <si>
    <t>Jago</t>
  </si>
  <si>
    <t>Beverages</t>
  </si>
  <si>
    <t>Interest</t>
  </si>
  <si>
    <t>Gopay</t>
  </si>
  <si>
    <t>Breakfast</t>
  </si>
  <si>
    <t>Loan/Receivables</t>
  </si>
  <si>
    <t>Shopee</t>
  </si>
  <si>
    <t>Transport Food</t>
  </si>
  <si>
    <t>Other</t>
  </si>
  <si>
    <t>Blu by BCA Digital</t>
  </si>
  <si>
    <t>Admin Fee Food</t>
  </si>
  <si>
    <t>Re-Balancing</t>
  </si>
  <si>
    <t>Giving &amp; Social</t>
  </si>
  <si>
    <t>Family Allowance</t>
  </si>
  <si>
    <t>Charity</t>
  </si>
  <si>
    <t>Gifts &amp; Celebrations</t>
  </si>
  <si>
    <t>Hobby</t>
  </si>
  <si>
    <t>Transportation</t>
  </si>
  <si>
    <t>Shuttle</t>
  </si>
  <si>
    <t>Ojek Online</t>
  </si>
  <si>
    <t>Train</t>
  </si>
  <si>
    <t>Other Transportation</t>
  </si>
  <si>
    <t>Personal</t>
  </si>
  <si>
    <t>Subcription</t>
  </si>
  <si>
    <t>Entertainment</t>
  </si>
  <si>
    <t>Clothes</t>
  </si>
  <si>
    <t>Debt</t>
  </si>
  <si>
    <t>Residence</t>
  </si>
  <si>
    <t>Rent</t>
  </si>
  <si>
    <t>Laundry</t>
  </si>
  <si>
    <t>Utilities</t>
  </si>
  <si>
    <t>Electricity</t>
  </si>
  <si>
    <t>Admin Fee</t>
  </si>
  <si>
    <t>Credit Phone</t>
  </si>
  <si>
    <t>Health &amp; Medical</t>
  </si>
  <si>
    <t>Vitamin &amp; Supplements</t>
  </si>
  <si>
    <t>Sickness &amp; Prescriptions</t>
  </si>
  <si>
    <t>Medical Supplies</t>
  </si>
  <si>
    <t>Investment</t>
  </si>
  <si>
    <t>Long Term</t>
  </si>
  <si>
    <t xml:space="preserve">Swing Trade </t>
  </si>
  <si>
    <t>Change or add categories by updating the Expenses and Income tables in the Summary sheet.</t>
  </si>
  <si>
    <t>Transfer</t>
  </si>
  <si>
    <t>Date</t>
  </si>
  <si>
    <t>Amount</t>
  </si>
  <si>
    <t>Description</t>
  </si>
  <si>
    <t>Category</t>
  </si>
  <si>
    <t>Sub Category</t>
  </si>
  <si>
    <t>Cost Center</t>
  </si>
  <si>
    <t>From</t>
  </si>
  <si>
    <t>To</t>
  </si>
  <si>
    <t>Travel JKT - CMH</t>
  </si>
  <si>
    <t>carryover - Sept 2026</t>
  </si>
  <si>
    <t>Gopay Later</t>
  </si>
  <si>
    <t>Jatah makan &amp; Kos</t>
  </si>
  <si>
    <t>Makan Siang</t>
  </si>
  <si>
    <t>Paycheck Sept 2026</t>
  </si>
  <si>
    <t xml:space="preserve">Tabungan </t>
  </si>
  <si>
    <t>Admin</t>
  </si>
  <si>
    <t>Piutang</t>
  </si>
  <si>
    <t>Bandung</t>
  </si>
  <si>
    <t>Oleh oleh</t>
  </si>
  <si>
    <t>Kos - Fatmawati</t>
  </si>
  <si>
    <t>Sarapan</t>
  </si>
  <si>
    <t>Baros - Rumah</t>
  </si>
  <si>
    <t>Rumah - Gor</t>
  </si>
  <si>
    <t>Pasteur Trans Cimahi - Fatmawati</t>
  </si>
  <si>
    <t>Kopi</t>
  </si>
  <si>
    <t>Potong Rambut</t>
  </si>
  <si>
    <t>Bhisa CMH - Cawang</t>
  </si>
  <si>
    <t xml:space="preserve">Makan Malam </t>
  </si>
  <si>
    <t>Rumah - Gor Papee</t>
  </si>
  <si>
    <t>Gor Papee - Rumah</t>
  </si>
  <si>
    <t>Pool Cawang - Stasiun Cawang</t>
  </si>
  <si>
    <t>Tanjung Barat - Kos</t>
  </si>
  <si>
    <t>Jus</t>
  </si>
  <si>
    <t>Bayar Kos</t>
  </si>
  <si>
    <t>Fee Admin Kos</t>
  </si>
  <si>
    <t>Ongkir Shopeefood</t>
  </si>
  <si>
    <t>Admin Shopeefood</t>
  </si>
  <si>
    <t>Galon</t>
  </si>
  <si>
    <t>Jus Mangga</t>
  </si>
  <si>
    <t>Astro</t>
  </si>
  <si>
    <t>Token Listrik</t>
  </si>
  <si>
    <t>Admin Bank</t>
  </si>
  <si>
    <t>Spotify</t>
  </si>
  <si>
    <t xml:space="preserve">Makan </t>
  </si>
  <si>
    <t xml:space="preserve">Fee Admin Bank </t>
  </si>
  <si>
    <t>Reza</t>
  </si>
  <si>
    <t xml:space="preserve">Gift lahiran temen </t>
  </si>
  <si>
    <t>Kuota By.u</t>
  </si>
  <si>
    <t>Makan Semingu Astro</t>
  </si>
  <si>
    <t>Hair Care Astro</t>
  </si>
  <si>
    <t>Admin Astro</t>
  </si>
  <si>
    <t>Tip</t>
  </si>
  <si>
    <t xml:space="preserve">Jajan </t>
  </si>
  <si>
    <t xml:space="preserve">Makan Siang </t>
  </si>
  <si>
    <t xml:space="preserve">Kopi + PPn </t>
  </si>
  <si>
    <t>Traktir Kopi</t>
  </si>
  <si>
    <t>Arkadia - Tj Barat</t>
  </si>
  <si>
    <t>Gondangdia - JB Tower</t>
  </si>
  <si>
    <t>JB Tower - Gondangdia</t>
  </si>
  <si>
    <t>Tj Barat - Kos</t>
  </si>
  <si>
    <t>Chat GPT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</si>
</sst>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yyyy"/>
    <numFmt numFmtId="165" formatCode="&quot;$&quot;#,##0"/>
    <numFmt numFmtId="166" formatCode="+#,#%;-#,#%;0%"/>
    <numFmt numFmtId="167" formatCode="[$Rp]#,##0"/>
    <numFmt numFmtId="168" formatCode="+$#,#;-$#,#;$0"/>
    <numFmt numFmtId="169" formatCode="M/d/yyyy"/>
  </numFmts>
  <fonts count="58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35685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356854"/>
      <name val="Raleway"/>
    </font>
    <font>
      <b/>
      <color rgb="FF356854"/>
      <name val="Lato"/>
    </font>
    <font>
      <b/>
      <sz val="10.0"/>
      <color rgb="FF356854"/>
      <name val="Lato"/>
    </font>
    <font>
      <b/>
      <sz val="18.0"/>
      <color rgb="FF356854"/>
      <name val="Raleway"/>
    </font>
    <font>
      <b/>
      <sz val="18.0"/>
      <color rgb="FF35685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/>
    <font>
      <sz val="10.0"/>
      <color rgb="FF434343"/>
      <name val="Lato"/>
    </font>
    <font>
      <b/>
      <color rgb="FF000000"/>
      <name val="Lato"/>
    </font>
    <font>
      <name val="Arial"/>
    </font>
    <font>
      <b/>
      <sz val="10.0"/>
      <color rgb="FF687887"/>
      <name val="Lato"/>
    </font>
    <font>
      <color rgb="FF434343"/>
      <name val="Lato"/>
    </font>
    <font>
      <b/>
      <color rgb="FF434343"/>
      <name val="Lato"/>
    </font>
    <font>
      <sz val="10.0"/>
      <color rgb="FF687887"/>
      <name val="Lato"/>
    </font>
    <font>
      <i/>
      <color rgb="FF708090"/>
      <name val="Lato"/>
    </font>
    <font>
      <i/>
      <color rgb="FFCCCCCC"/>
      <name val="Lato"/>
    </font>
    <font>
      <b/>
      <sz val="11.0"/>
      <color rgb="FFFFFFFF"/>
      <name val="Lato"/>
    </font>
    <font>
      <color rgb="FF000000"/>
      <name val="Lato"/>
    </font>
    <font>
      <b/>
      <color rgb="FF576475"/>
      <name val="Lato"/>
    </font>
    <font>
      <color rgb="FF687887"/>
      <name val="Lato"/>
    </font>
    <font>
      <color rgb="FF576475"/>
      <name val="Lato"/>
    </font>
    <font>
      <color rgb="FF434343"/>
      <name val="Arial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6F8F9"/>
        <bgColor rgb="FFF6F8F9"/>
      </patternFill>
    </fill>
  </fills>
  <borders count="19">
    <border/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2" numFmtId="0" xfId="0" applyAlignment="1" applyFill="1" applyFont="1">
      <alignment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shrinkToFit="0" vertical="top" wrapText="1"/>
    </xf>
    <xf borderId="0" fillId="2" fontId="5" numFmtId="0" xfId="0" applyAlignment="1" applyFill="1" applyFont="1">
      <alignment horizontal="left" readingOrder="0" shrinkToFit="0" vertical="top" wrapText="1"/>
    </xf>
    <xf borderId="0" fillId="2" fontId="4" numFmtId="0" xfId="0" applyAlignment="1" applyFill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ill="1" applyFont="1">
      <alignment shrinkToFit="0" vertical="top" wrapText="1"/>
    </xf>
    <xf borderId="0" fillId="2" fontId="7" numFmtId="0" xfId="0" applyAlignment="1" applyFill="1" applyFont="1">
      <alignment horizontal="left" readingOrder="0" shrinkToFit="0" vertical="center" wrapText="1"/>
    </xf>
    <xf borderId="0" fillId="2" fontId="4" numFmtId="0" xfId="0" applyAlignment="1" applyFill="1" applyFont="1">
      <alignment shrinkToFit="0" vertical="bottom" wrapText="1"/>
    </xf>
    <xf borderId="0" fillId="2" fontId="4" numFmtId="0" xfId="0" applyAlignment="1" applyFill="1" applyFont="1">
      <alignment horizontal="left" readingOrder="0" shrinkToFit="0" vertical="bottom" wrapText="1"/>
    </xf>
    <xf borderId="0" fillId="2" fontId="8" numFmtId="0" xfId="0" applyFill="1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0" fontId="6" numFmtId="0" xfId="0" applyAlignment="1" applyFont="1">
      <alignment vertical="top"/>
    </xf>
    <xf borderId="0" fillId="4" fontId="14" numFmtId="0" xfId="0" applyAlignment="1" applyFill="1" applyFont="1">
      <alignment horizontal="left" readingOrder="0" vertical="top"/>
    </xf>
    <xf borderId="0" fillId="4" fontId="14" numFmtId="164" xfId="0" applyAlignment="1" applyFill="1" applyFont="1" applyNumberFormat="1">
      <alignment horizontal="left" vertical="top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4" fontId="8" numFmtId="0" xfId="0" applyFill="1" applyFont="1"/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4" fontId="16" numFmtId="166" xfId="0" applyAlignment="1" applyFill="1" applyFont="1" applyNumberFormat="1">
      <alignment horizontal="center" readingOrder="0" shrinkToFit="0" vertical="bottom" wrapText="0"/>
    </xf>
    <xf borderId="0" fillId="0" fontId="17" numFmtId="0" xfId="0" applyAlignment="1" applyFont="1">
      <alignment horizontal="left" readingOrder="0" shrinkToFit="0" vertical="bottom" wrapText="0"/>
    </xf>
    <xf borderId="0" fillId="4" fontId="18" numFmtId="0" xfId="0" applyAlignment="1" applyFill="1" applyFont="1">
      <alignment horizontal="center" readingOrder="0" shrinkToFit="0" vertical="top" wrapText="0"/>
    </xf>
    <xf borderId="0" fillId="0" fontId="17" numFmtId="9" xfId="0" applyAlignment="1" applyFont="1" applyNumberFormat="1">
      <alignment horizontal="left" readingOrder="0" shrinkToFit="0" vertical="bottom" wrapText="0"/>
    </xf>
    <xf borderId="0" fillId="4" fontId="16" numFmtId="167" xfId="0" applyAlignment="1" applyFill="1" applyFont="1" applyNumberFormat="1">
      <alignment horizontal="center" readingOrder="0" shrinkToFit="0" vertical="bottom" wrapText="0"/>
    </xf>
    <xf borderId="0" fillId="0" fontId="19" numFmtId="0" xfId="0" applyFont="1"/>
    <xf borderId="0" fillId="0" fontId="20" numFmtId="0" xfId="0" applyAlignment="1" applyFont="1">
      <alignment horizontal="right" readingOrder="0" vertical="bottom"/>
    </xf>
    <xf borderId="0" fillId="0" fontId="21" numFmtId="165" xfId="0" applyAlignment="1" applyFont="1" applyNumberFormat="1">
      <alignment horizontal="left" readingOrder="0" vertical="bottom"/>
    </xf>
    <xf borderId="0" fillId="0" fontId="15" numFmtId="165" xfId="0" applyAlignment="1" applyFont="1" applyNumberFormat="1">
      <alignment vertical="bottom"/>
    </xf>
    <xf borderId="0" fillId="4" fontId="18" numFmtId="9" xfId="0" applyAlignment="1" applyFill="1" applyFont="1" applyNumberFormat="1">
      <alignment horizontal="center" readingOrder="0" shrinkToFit="0" vertical="top" wrapText="0"/>
    </xf>
    <xf borderId="0" fillId="0" fontId="18" numFmtId="0" xfId="0" applyAlignment="1" applyFont="1">
      <alignment horizontal="left" readingOrder="0" shrinkToFit="0" vertical="top" wrapText="0"/>
    </xf>
    <xf borderId="0" fillId="0" fontId="18" numFmtId="167" xfId="0" applyAlignment="1" applyFont="1" applyNumberFormat="1">
      <alignment horizontal="center" readingOrder="0" vertical="top"/>
    </xf>
    <xf borderId="0" fillId="0" fontId="22" numFmtId="167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0" fillId="0" fontId="23" numFmtId="0" xfId="0" applyAlignment="1" applyFont="1">
      <alignment vertical="center"/>
    </xf>
    <xf borderId="0" fillId="0" fontId="20" numFmtId="0" xfId="0" applyAlignment="1" applyFont="1">
      <alignment horizontal="left" readingOrder="0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left" vertical="center"/>
    </xf>
    <xf borderId="0" fillId="0" fontId="24" numFmtId="167" xfId="0" applyAlignment="1" applyFont="1" applyNumberFormat="1">
      <alignment horizontal="right" vertical="center"/>
    </xf>
    <xf borderId="0" fillId="4" fontId="24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26" numFmtId="0" xfId="0" applyAlignment="1" applyFont="1">
      <alignment horizontal="left" readingOrder="0" vertical="center"/>
    </xf>
    <xf borderId="0" fillId="0" fontId="9" numFmtId="167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7" numFmtId="0" xfId="0" applyAlignment="1" applyFont="1">
      <alignment horizontal="left"/>
    </xf>
    <xf borderId="0" fillId="0" fontId="28" numFmtId="165" xfId="0" applyAlignment="1" applyFont="1" applyNumberFormat="1">
      <alignment horizontal="right"/>
    </xf>
    <xf borderId="0" fillId="4" fontId="1" numFmtId="0" xfId="0" applyAlignment="1" applyFill="1" applyFont="1">
      <alignment vertical="bottom"/>
    </xf>
    <xf borderId="0" fillId="0" fontId="29" numFmtId="0" xfId="0" applyAlignment="1" applyFont="1">
      <alignment vertical="top"/>
    </xf>
    <xf borderId="0" fillId="0" fontId="30" numFmtId="0" xfId="0" applyAlignment="1" applyFont="1">
      <alignment horizontal="left" vertical="top"/>
    </xf>
    <xf borderId="0" fillId="0" fontId="31" numFmtId="0" xfId="0" applyAlignment="1" applyFont="1">
      <alignment vertical="top"/>
    </xf>
    <xf borderId="0" fillId="0" fontId="32" numFmtId="0" xfId="0" applyAlignment="1" applyFont="1">
      <alignment horizontal="right" vertical="top"/>
    </xf>
    <xf borderId="0" fillId="0" fontId="33" numFmtId="0" xfId="0" applyAlignment="1" applyFont="1">
      <alignment horizontal="left" vertical="top"/>
    </xf>
    <xf borderId="0" fillId="0" fontId="34" numFmtId="0" xfId="0" applyAlignment="1" applyFont="1">
      <alignment horizontal="left" vertical="top"/>
    </xf>
    <xf borderId="0" fillId="0" fontId="32" numFmtId="0" xfId="0" applyAlignment="1" applyFont="1">
      <alignment vertical="top"/>
    </xf>
    <xf borderId="0" fillId="0" fontId="33" numFmtId="0" xfId="0" applyAlignment="1" applyFont="1">
      <alignment horizontal="left" readingOrder="0" vertical="top"/>
    </xf>
    <xf borderId="0" fillId="0" fontId="19" numFmtId="0" xfId="0" applyAlignment="1" applyFont="1">
      <alignment vertical="top"/>
    </xf>
    <xf borderId="1" fillId="0" fontId="9" numFmtId="0" xfId="0" applyAlignment="1" applyBorder="1" applyFont="1">
      <alignment vertical="bottom"/>
    </xf>
    <xf borderId="2" fillId="0" fontId="35" numFmtId="0" xfId="0" applyAlignment="1" applyBorder="1" applyFont="1">
      <alignment horizontal="right" vertical="bottom"/>
    </xf>
    <xf borderId="2" fillId="0" fontId="36" numFmtId="0" xfId="0" applyAlignment="1" applyBorder="1" applyFont="1">
      <alignment horizontal="left" vertical="bottom"/>
    </xf>
    <xf borderId="2" fillId="0" fontId="35" numFmtId="0" xfId="0" applyAlignment="1" applyBorder="1" applyFont="1">
      <alignment horizontal="right" readingOrder="0" vertical="bottom"/>
    </xf>
    <xf borderId="1" fillId="0" fontId="9" numFmtId="0" xfId="0" applyAlignment="1" applyBorder="1" applyFont="1">
      <alignment horizontal="right" vertical="bottom"/>
    </xf>
    <xf borderId="2" fillId="0" fontId="37" numFmtId="0" xfId="0" applyAlignment="1" applyBorder="1" applyFont="1">
      <alignment horizontal="left" vertical="bottom"/>
    </xf>
    <xf borderId="2" fillId="0" fontId="38" numFmtId="0" xfId="0" applyAlignment="1" applyBorder="1" applyFont="1">
      <alignment horizontal="left" vertical="bottom"/>
    </xf>
    <xf borderId="0" fillId="0" fontId="35" numFmtId="0" xfId="0" applyAlignment="1" applyFont="1">
      <alignment horizontal="right" readingOrder="0" vertical="bottom"/>
    </xf>
    <xf borderId="0" fillId="0" fontId="39" numFmtId="0" xfId="0" applyAlignment="1" applyFont="1">
      <alignment vertical="top"/>
    </xf>
    <xf borderId="3" fillId="0" fontId="39" numFmtId="0" xfId="0" applyAlignment="1" applyBorder="1" applyFont="1">
      <alignment readingOrder="0" vertical="top"/>
    </xf>
    <xf borderId="3" fillId="0" fontId="39" numFmtId="0" xfId="0" applyAlignment="1" applyBorder="1" applyFont="1">
      <alignment vertical="top"/>
    </xf>
    <xf borderId="3" fillId="0" fontId="39" numFmtId="167" xfId="0" applyAlignment="1" applyBorder="1" applyFont="1" applyNumberFormat="1">
      <alignment horizontal="right" vertical="top"/>
    </xf>
    <xf borderId="0" fillId="0" fontId="39" numFmtId="0" xfId="0" applyAlignment="1" applyFont="1">
      <alignment horizontal="right" vertical="top"/>
    </xf>
    <xf borderId="3" fillId="0" fontId="39" numFmtId="0" xfId="0" applyAlignment="1" applyBorder="1" applyFont="1">
      <alignment horizontal="left" readingOrder="0" vertical="top"/>
    </xf>
    <xf borderId="3" fillId="0" fontId="39" numFmtId="0" xfId="0" applyAlignment="1" applyBorder="1" applyFont="1">
      <alignment horizontal="right" readingOrder="0" vertical="top"/>
    </xf>
    <xf borderId="0" fillId="0" fontId="39" numFmtId="167" xfId="0" applyAlignment="1" applyFont="1" applyNumberFormat="1">
      <alignment horizontal="right" vertical="top"/>
    </xf>
    <xf borderId="3" fillId="0" fontId="39" numFmtId="167" xfId="0" applyAlignment="1" applyBorder="1" applyFont="1" applyNumberFormat="1">
      <alignment horizontal="right" readingOrder="0" vertical="top"/>
    </xf>
    <xf borderId="0" fillId="0" fontId="9" numFmtId="0" xfId="0" applyAlignment="1" applyFont="1">
      <alignment vertical="center"/>
    </xf>
    <xf borderId="4" fillId="0" fontId="40" numFmtId="165" xfId="0" applyAlignment="1" applyBorder="1" applyFont="1" applyNumberFormat="1">
      <alignment readingOrder="0" vertical="center"/>
    </xf>
    <xf borderId="5" fillId="0" fontId="41" numFmtId="0" xfId="0" applyBorder="1" applyFont="1"/>
    <xf borderId="6" fillId="0" fontId="42" numFmtId="165" xfId="0" applyAlignment="1" applyBorder="1" applyFont="1" applyNumberFormat="1">
      <alignment horizontal="right" readingOrder="0" vertical="center"/>
    </xf>
    <xf borderId="0" fillId="0" fontId="42" numFmtId="165" xfId="0" applyAlignment="1" applyFont="1" applyNumberFormat="1">
      <alignment horizontal="right" vertical="center"/>
    </xf>
    <xf borderId="0" fillId="0" fontId="42" numFmtId="167" xfId="0" applyAlignment="1" applyFont="1" applyNumberFormat="1">
      <alignment horizontal="right" vertical="center"/>
    </xf>
    <xf borderId="0" fillId="0" fontId="9" numFmtId="0" xfId="0" applyAlignment="1" applyFont="1">
      <alignment horizontal="right" vertical="center"/>
    </xf>
    <xf borderId="7" fillId="0" fontId="40" numFmtId="165" xfId="0" applyAlignment="1" applyBorder="1" applyFont="1" applyNumberFormat="1">
      <alignment vertical="center"/>
    </xf>
    <xf borderId="8" fillId="0" fontId="41" numFmtId="0" xfId="0" applyBorder="1" applyFont="1"/>
    <xf borderId="9" fillId="5" fontId="43" numFmtId="165" xfId="0" applyBorder="1" applyFill="1" applyFont="1" applyNumberFormat="1"/>
    <xf borderId="10" fillId="0" fontId="41" numFmtId="0" xfId="0" applyBorder="1" applyFont="1"/>
    <xf borderId="11" fillId="0" fontId="44" numFmtId="167" xfId="0" applyBorder="1" applyFont="1" applyNumberFormat="1"/>
    <xf borderId="11" fillId="5" fontId="40" numFmtId="167" xfId="0" applyAlignment="1" applyBorder="1" applyFill="1" applyFont="1" applyNumberFormat="1">
      <alignment horizontal="right" readingOrder="0" vertical="center"/>
    </xf>
    <xf borderId="0" fillId="0" fontId="40" numFmtId="167" xfId="0" applyAlignment="1" applyFont="1" applyNumberFormat="1">
      <alignment horizontal="right" vertical="center"/>
    </xf>
    <xf borderId="0" fillId="0" fontId="45" numFmtId="167" xfId="0" applyAlignment="1" applyFont="1" applyNumberFormat="1">
      <alignment horizontal="right" vertical="center"/>
    </xf>
    <xf borderId="9" fillId="0" fontId="40" numFmtId="165" xfId="0" applyAlignment="1" applyBorder="1" applyFont="1" applyNumberFormat="1">
      <alignment vertical="center"/>
    </xf>
    <xf borderId="9" fillId="0" fontId="40" numFmtId="165" xfId="0" applyAlignment="1" applyBorder="1" applyFont="1" applyNumberFormat="1">
      <alignment readingOrder="0" vertical="center"/>
    </xf>
    <xf borderId="11" fillId="0" fontId="44" numFmtId="165" xfId="0" applyBorder="1" applyFont="1" applyNumberFormat="1"/>
    <xf borderId="11" fillId="5" fontId="46" numFmtId="167" xfId="0" applyBorder="1" applyFill="1" applyFont="1" applyNumberFormat="1"/>
    <xf borderId="11" fillId="5" fontId="42" numFmtId="167" xfId="0" applyAlignment="1" applyBorder="1" applyFill="1" applyFont="1" applyNumberFormat="1">
      <alignment horizontal="right" readingOrder="0" vertical="center"/>
    </xf>
    <xf borderId="11" fillId="5" fontId="46" numFmtId="167" xfId="0" applyAlignment="1" applyBorder="1" applyFill="1" applyFont="1" applyNumberFormat="1">
      <alignment readingOrder="0"/>
    </xf>
    <xf borderId="9" fillId="0" fontId="47" numFmtId="0" xfId="0" applyAlignment="1" applyBorder="1" applyFont="1">
      <alignment readingOrder="0"/>
    </xf>
    <xf borderId="0" fillId="5" fontId="8" numFmtId="167" xfId="0" applyAlignment="1" applyFill="1" applyFont="1" applyNumberFormat="1">
      <alignment vertical="bottom"/>
    </xf>
    <xf borderId="0" fillId="0" fontId="40" numFmtId="165" xfId="0" applyAlignment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41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 vertical="center"/>
    </xf>
    <xf borderId="0" fillId="0" fontId="41" numFmtId="165" xfId="0" applyFont="1" applyNumberFormat="1"/>
    <xf borderId="0" fillId="0" fontId="41" numFmtId="167" xfId="0" applyAlignment="1" applyFont="1" applyNumberFormat="1">
      <alignment readingOrder="0"/>
    </xf>
    <xf borderId="0" fillId="0" fontId="41" numFmtId="167" xfId="0" applyFont="1" applyNumberFormat="1"/>
    <xf borderId="0" fillId="0" fontId="1" numFmtId="167" xfId="0" applyAlignment="1" applyFont="1" applyNumberFormat="1">
      <alignment vertical="center"/>
    </xf>
    <xf borderId="0" fillId="0" fontId="1" numFmtId="14" xfId="0" applyAlignment="1" applyFont="1" applyNumberFormat="1">
      <alignment horizontal="right" vertical="center"/>
    </xf>
    <xf borderId="9" fillId="0" fontId="47" numFmtId="167" xfId="0" applyAlignment="1" applyBorder="1" applyFont="1" applyNumberFormat="1">
      <alignment readingOrder="0"/>
    </xf>
    <xf borderId="12" fillId="0" fontId="41" numFmtId="0" xfId="0" applyBorder="1" applyFont="1"/>
    <xf borderId="0" fillId="0" fontId="15" numFmtId="167" xfId="0" applyAlignment="1" applyFont="1" applyNumberFormat="1">
      <alignment vertical="center"/>
    </xf>
    <xf borderId="9" fillId="0" fontId="47" numFmtId="165" xfId="0" applyAlignment="1" applyBorder="1" applyFont="1" applyNumberFormat="1">
      <alignment readingOrder="0"/>
    </xf>
    <xf borderId="0" fillId="0" fontId="42" numFmtId="167" xfId="0" applyAlignment="1" applyFont="1" applyNumberFormat="1">
      <alignment horizontal="right" readingOrder="0" vertical="center"/>
    </xf>
    <xf borderId="11" fillId="0" fontId="44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center"/>
    </xf>
    <xf borderId="11" fillId="5" fontId="46" numFmtId="167" xfId="0" applyAlignment="1" applyBorder="1" applyFill="1" applyFont="1" applyNumberFormat="1">
      <alignment vertical="bottom"/>
    </xf>
    <xf borderId="11" fillId="0" fontId="47" numFmtId="0" xfId="0" applyAlignment="1" applyBorder="1" applyFont="1">
      <alignment readingOrder="0"/>
    </xf>
    <xf borderId="9" fillId="0" fontId="44" numFmtId="165" xfId="0" applyBorder="1" applyFont="1" applyNumberFormat="1"/>
    <xf borderId="11" fillId="0" fontId="44" numFmtId="165" xfId="0" applyAlignment="1" applyBorder="1" applyFont="1" applyNumberFormat="1">
      <alignment vertical="bottom"/>
    </xf>
    <xf borderId="0" fillId="0" fontId="42" numFmtId="165" xfId="0" applyAlignment="1" applyFont="1" applyNumberFormat="1">
      <alignment horizontal="right" readingOrder="0" vertical="center"/>
    </xf>
    <xf borderId="0" fillId="0" fontId="48" numFmtId="168" xfId="0" applyAlignment="1" applyFont="1" applyNumberFormat="1">
      <alignment horizontal="right" vertical="center"/>
    </xf>
    <xf borderId="0" fillId="0" fontId="47" numFmtId="0" xfId="0" applyAlignment="1" applyFont="1">
      <alignment readingOrder="0"/>
    </xf>
    <xf borderId="0" fillId="2" fontId="49" numFmtId="0" xfId="0" applyAlignment="1" applyFill="1" applyFont="1">
      <alignment horizontal="right"/>
    </xf>
    <xf borderId="0" fillId="2" fontId="50" numFmtId="0" xfId="0" applyFill="1" applyFont="1"/>
    <xf borderId="0" fillId="2" fontId="44" numFmtId="0" xfId="0" applyFill="1" applyFont="1"/>
    <xf borderId="0" fillId="0" fontId="44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44" numFmtId="167" xfId="0" applyAlignment="1" applyFont="1" applyNumberFormat="1">
      <alignment vertical="bottom"/>
    </xf>
    <xf borderId="0" fillId="0" fontId="44" numFmtId="0" xfId="0" applyFont="1"/>
    <xf borderId="0" fillId="0" fontId="51" numFmtId="0" xfId="0" applyAlignment="1" applyFont="1">
      <alignment horizontal="left" readingOrder="0" shrinkToFit="0" vertical="center" wrapText="0"/>
    </xf>
    <xf borderId="0" fillId="0" fontId="51" numFmtId="167" xfId="0" applyAlignment="1" applyFont="1" applyNumberFormat="1">
      <alignment horizontal="left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0" fillId="0" fontId="51" numFmtId="49" xfId="0" applyAlignment="1" applyFont="1" applyNumberFormat="1">
      <alignment horizontal="left" readingOrder="0" shrinkToFit="0" vertical="center" wrapText="0"/>
    </xf>
    <xf borderId="0" fillId="0" fontId="44" numFmtId="0" xfId="0" applyFont="1"/>
    <xf borderId="13" fillId="5" fontId="52" numFmtId="169" xfId="0" applyAlignment="1" applyBorder="1" applyFill="1" applyFont="1" applyNumberFormat="1">
      <alignment horizontal="right" readingOrder="0" shrinkToFit="0" vertical="center" wrapText="0"/>
    </xf>
    <xf borderId="11" fillId="4" fontId="53" numFmtId="167" xfId="0" applyAlignment="1" applyBorder="1" applyFill="1" applyFont="1" applyNumberFormat="1">
      <alignment horizontal="right" readingOrder="0" shrinkToFit="0" vertical="center" wrapText="0"/>
    </xf>
    <xf borderId="11" fillId="4" fontId="54" numFmtId="0" xfId="0" applyAlignment="1" applyBorder="1" applyFill="1" applyFont="1">
      <alignment readingOrder="0" shrinkToFit="0" vertical="center" wrapText="0"/>
    </xf>
    <xf borderId="11" fillId="4" fontId="54" numFmtId="0" xfId="0" applyAlignment="1" applyBorder="1" applyFill="1" applyFont="1">
      <alignment readingOrder="0" shrinkToFit="0" vertical="center" wrapText="0"/>
    </xf>
    <xf borderId="9" fillId="4" fontId="54" numFmtId="0" xfId="0" applyAlignment="1" applyBorder="1" applyFill="1" applyFont="1">
      <alignment readingOrder="0" shrinkToFit="0" vertical="center" wrapText="0"/>
    </xf>
    <xf borderId="14" fillId="4" fontId="46" numFmtId="0" xfId="0" applyAlignment="1" applyBorder="1" applyFill="1" applyFont="1">
      <alignment readingOrder="0" shrinkToFit="0" vertical="center" wrapText="0"/>
    </xf>
    <xf borderId="11" fillId="4" fontId="55" numFmtId="0" xfId="0" applyAlignment="1" applyBorder="1" applyFill="1" applyFont="1">
      <alignment readingOrder="0" shrinkToFit="0" vertical="center" wrapText="0"/>
    </xf>
    <xf borderId="11" fillId="4" fontId="55" numFmtId="0" xfId="0" applyAlignment="1" applyBorder="1" applyFill="1" applyFont="1">
      <alignment shrinkToFit="0" vertical="center" wrapText="0"/>
    </xf>
    <xf borderId="15" fillId="5" fontId="52" numFmtId="169" xfId="0" applyAlignment="1" applyBorder="1" applyFill="1" applyFont="1" applyNumberFormat="1">
      <alignment horizontal="right" shrinkToFit="0" vertical="center" wrapText="0"/>
    </xf>
    <xf borderId="0" fillId="4" fontId="53" numFmtId="167" xfId="0" applyAlignment="1" applyFill="1" applyFont="1" applyNumberFormat="1">
      <alignment horizontal="right" readingOrder="0" shrinkToFit="0" vertical="center" wrapText="0"/>
    </xf>
    <xf borderId="0" fillId="4" fontId="54" numFmtId="0" xfId="0" applyAlignment="1" applyFill="1" applyFont="1">
      <alignment readingOrder="0" shrinkToFit="0" vertical="center" wrapText="0"/>
    </xf>
    <xf borderId="0" fillId="4" fontId="54" numFmtId="0" xfId="0" applyAlignment="1" applyFill="1" applyFont="1">
      <alignment readingOrder="0" shrinkToFit="0" vertical="center" wrapText="0"/>
    </xf>
    <xf borderId="0" fillId="4" fontId="54" numFmtId="0" xfId="0" applyAlignment="1" applyFill="1" applyFont="1">
      <alignment shrinkToFit="0" vertical="center" wrapText="0"/>
    </xf>
    <xf borderId="16" fillId="4" fontId="46" numFmtId="0" xfId="0" applyAlignment="1" applyBorder="1" applyFill="1" applyFont="1">
      <alignment readingOrder="0" shrinkToFit="0" vertical="center" wrapText="0"/>
    </xf>
    <xf borderId="0" fillId="5" fontId="52" numFmtId="169" xfId="0" applyAlignment="1" applyFill="1" applyFont="1" applyNumberFormat="1">
      <alignment horizontal="right" shrinkToFit="0" vertical="center" wrapText="0"/>
    </xf>
    <xf borderId="0" fillId="4" fontId="46" numFmtId="0" xfId="0" applyAlignment="1" applyFill="1" applyFont="1">
      <alignment readingOrder="0" shrinkToFit="0" vertical="center" wrapText="0"/>
    </xf>
    <xf borderId="13" fillId="5" fontId="52" numFmtId="169" xfId="0" applyAlignment="1" applyBorder="1" applyFill="1" applyFont="1" applyNumberFormat="1">
      <alignment horizontal="right" shrinkToFit="0" vertical="center" wrapText="0"/>
    </xf>
    <xf borderId="17" fillId="6" fontId="53" numFmtId="167" xfId="0" applyAlignment="1" applyBorder="1" applyFill="1" applyFont="1" applyNumberFormat="1">
      <alignment horizontal="right" readingOrder="0" shrinkToFit="0" vertical="center" wrapText="0"/>
    </xf>
    <xf borderId="17" fillId="6" fontId="56" numFmtId="0" xfId="0" applyAlignment="1" applyBorder="1" applyFill="1" applyFont="1">
      <alignment readingOrder="0" shrinkToFit="0" vertical="center" wrapText="0"/>
    </xf>
    <xf borderId="17" fillId="6" fontId="54" numFmtId="0" xfId="0" applyAlignment="1" applyBorder="1" applyFill="1" applyFont="1">
      <alignment readingOrder="0" shrinkToFit="0" vertical="center" wrapText="0"/>
    </xf>
    <xf borderId="18" fillId="6" fontId="46" numFmtId="0" xfId="0" applyAlignment="1" applyBorder="1" applyFill="1" applyFont="1">
      <alignment readingOrder="0" shrinkToFit="0" vertical="center" wrapText="0"/>
    </xf>
    <xf borderId="0" fillId="0" fontId="25" numFmtId="167" xfId="0" applyAlignment="1" applyFont="1" applyNumberFormat="1">
      <alignment readingOrder="0" shrinkToFit="0" vertical="center" wrapText="0"/>
    </xf>
    <xf borderId="0" fillId="4" fontId="55" numFmtId="0" xfId="0" applyAlignment="1" applyFill="1" applyFont="1">
      <alignment readingOrder="0" shrinkToFit="0" vertical="center" wrapText="0"/>
    </xf>
    <xf borderId="0" fillId="6" fontId="53" numFmtId="167" xfId="0" applyAlignment="1" applyFill="1" applyFont="1" applyNumberFormat="1">
      <alignment horizontal="right" readingOrder="0" shrinkToFit="0" vertical="center" wrapText="0"/>
    </xf>
    <xf borderId="0" fillId="6" fontId="56" numFmtId="0" xfId="0" applyAlignment="1" applyFill="1" applyFont="1">
      <alignment shrinkToFit="0" vertical="center" wrapText="0"/>
    </xf>
    <xf borderId="0" fillId="6" fontId="54" numFmtId="0" xfId="0" applyAlignment="1" applyFill="1" applyFont="1">
      <alignment readingOrder="0" shrinkToFit="0" vertical="center" wrapText="0"/>
    </xf>
    <xf borderId="0" fillId="6" fontId="46" numFmtId="0" xfId="0" applyAlignment="1" applyFill="1" applyFont="1">
      <alignment readingOrder="0" shrinkToFit="0" vertical="center" wrapText="0"/>
    </xf>
    <xf borderId="0" fillId="5" fontId="52" numFmtId="169" xfId="0" applyAlignment="1" applyFill="1" applyFont="1" applyNumberFormat="1">
      <alignment readingOrder="0" shrinkToFit="0" vertical="center" wrapText="0"/>
    </xf>
    <xf borderId="0" fillId="6" fontId="53" numFmtId="167" xfId="0" applyAlignment="1" applyFill="1" applyFont="1" applyNumberFormat="1">
      <alignment readingOrder="0" shrinkToFit="0" vertical="center" wrapText="0"/>
    </xf>
    <xf borderId="0" fillId="5" fontId="52" numFmtId="169" xfId="0" applyAlignment="1" applyFill="1" applyFont="1" applyNumberFormat="1">
      <alignment horizontal="right" readingOrder="0" shrinkToFit="0" vertical="center" wrapText="0"/>
    </xf>
    <xf borderId="0" fillId="0" fontId="56" numFmtId="0" xfId="0" applyAlignment="1" applyFont="1">
      <alignment shrinkToFit="0" vertical="center" wrapText="0"/>
    </xf>
    <xf borderId="0" fillId="0" fontId="56" numFmtId="167" xfId="0" applyAlignment="1" applyFont="1" applyNumberFormat="1">
      <alignment shrinkToFit="0" vertical="center" wrapText="0"/>
    </xf>
    <xf borderId="0" fillId="4" fontId="44" numFmtId="0" xfId="0" applyFill="1" applyFont="1"/>
    <xf borderId="0" fillId="4" fontId="53" numFmtId="167" xfId="0" applyAlignment="1" applyFill="1" applyFont="1" applyNumberFormat="1">
      <alignment horizontal="right" shrinkToFit="0" wrapText="0"/>
    </xf>
    <xf borderId="0" fillId="0" fontId="44" numFmtId="169" xfId="0" applyFont="1" applyNumberFormat="1"/>
    <xf borderId="0" fillId="0" fontId="44" numFmtId="167" xfId="0" applyFont="1" applyNumberFormat="1"/>
    <xf borderId="0" fillId="0" fontId="44" numFmtId="167" xfId="0" applyAlignment="1" applyFont="1" applyNumberFormat="1">
      <alignment readingOrder="0"/>
    </xf>
    <xf borderId="0" fillId="0" fontId="52" numFmtId="169" xfId="0" applyAlignment="1" applyFont="1" applyNumberFormat="1">
      <alignment horizontal="right" readingOrder="0" shrinkToFit="0" vertical="center" wrapText="0"/>
    </xf>
    <xf borderId="0" fillId="0" fontId="53" numFmtId="167" xfId="0" applyAlignment="1" applyFont="1" applyNumberFormat="1">
      <alignment horizontal="right" readingOrder="0" shrinkToFit="0" vertical="center" wrapText="0"/>
    </xf>
    <xf borderId="0" fillId="0" fontId="46" numFmtId="0" xfId="0" applyAlignment="1" applyFont="1">
      <alignment shrinkToFit="0" vertical="center" wrapText="0"/>
    </xf>
    <xf borderId="0" fillId="0" fontId="53" numFmtId="167" xfId="0" applyAlignment="1" applyFont="1" applyNumberFormat="1">
      <alignment horizontal="right" readingOrder="0" shrinkToFit="0" vertical="center" wrapText="0"/>
    </xf>
    <xf borderId="0" fillId="4" fontId="54" numFmtId="0" xfId="0" applyAlignment="1" applyFill="1" applyFont="1">
      <alignment readingOrder="0" shrinkToFit="0" vertical="center" wrapText="0"/>
    </xf>
    <xf borderId="0" fillId="0" fontId="46" numFmtId="169" xfId="0" applyAlignment="1" applyFont="1" applyNumberFormat="1">
      <alignment shrinkToFit="0" vertical="center" wrapText="0"/>
    </xf>
    <xf borderId="0" fillId="0" fontId="46" numFmtId="169" xfId="0" applyAlignment="1" applyFont="1" applyNumberFormat="1">
      <alignment readingOrder="0" shrinkToFit="0" vertical="center" wrapText="0"/>
    </xf>
    <xf borderId="0" fillId="0" fontId="54" numFmtId="0" xfId="0" applyAlignment="1" applyFont="1">
      <alignment readingOrder="0" shrinkToFit="0" vertical="center" wrapText="0"/>
    </xf>
    <xf borderId="0" fillId="0" fontId="54" numFmtId="0" xfId="0" applyAlignment="1" applyFont="1">
      <alignment readingOrder="0" shrinkToFit="0" vertical="center" wrapText="0"/>
    </xf>
    <xf borderId="0" fillId="4" fontId="54" numFmtId="0" xfId="0" applyAlignment="1" applyFill="1" applyFont="1">
      <alignment readingOrder="0" shrinkToFit="0" vertical="center" wrapText="0"/>
    </xf>
    <xf borderId="17" fillId="6" fontId="54" numFmtId="0" xfId="0" applyAlignment="1" applyBorder="1" applyFill="1" applyFont="1">
      <alignment shrinkToFit="0" vertical="center" wrapText="0"/>
    </xf>
    <xf borderId="18" fillId="6" fontId="46" numFmtId="0" xfId="0" applyAlignment="1" applyBorder="1" applyFill="1" applyFont="1">
      <alignment shrinkToFit="0" vertical="center" wrapText="0"/>
    </xf>
    <xf borderId="0" fillId="0" fontId="46" numFmtId="167" xfId="0" applyAlignment="1" applyFont="1" applyNumberFormat="1">
      <alignment readingOrder="0" shrinkToFit="0" vertical="center" wrapText="0"/>
    </xf>
    <xf borderId="11" fillId="4" fontId="54" numFmtId="0" xfId="0" applyAlignment="1" applyBorder="1" applyFill="1" applyFont="1">
      <alignment shrinkToFit="0" vertical="center" wrapText="0"/>
    </xf>
    <xf borderId="14" fillId="4" fontId="46" numFmtId="0" xfId="0" applyAlignment="1" applyBorder="1" applyFill="1" applyFont="1">
      <alignment shrinkToFit="0" vertical="center" wrapText="0"/>
    </xf>
    <xf borderId="0" fillId="6" fontId="54" numFmtId="0" xfId="0" applyAlignment="1" applyFill="1" applyFont="1">
      <alignment shrinkToFit="0" vertical="center" wrapText="0"/>
    </xf>
    <xf borderId="11" fillId="4" fontId="54" numFmtId="0" xfId="0" applyAlignment="1" applyBorder="1" applyFill="1" applyFont="1">
      <alignment shrinkToFit="0" vertical="center" wrapText="0"/>
    </xf>
    <xf borderId="17" fillId="6" fontId="54" numFmtId="0" xfId="0" applyAlignment="1" applyBorder="1" applyFill="1" applyFont="1">
      <alignment shrinkToFit="0" vertical="center" wrapText="0"/>
    </xf>
    <xf borderId="11" fillId="6" fontId="54" numFmtId="0" xfId="0" applyAlignment="1" applyBorder="1" applyFill="1" applyFont="1">
      <alignment shrinkToFit="0" vertical="center" wrapText="0"/>
    </xf>
    <xf borderId="14" fillId="6" fontId="46" numFmtId="0" xfId="0" applyAlignment="1" applyBorder="1" applyFill="1" applyFont="1">
      <alignment shrinkToFit="0" vertical="center" wrapText="0"/>
    </xf>
    <xf borderId="17" fillId="4" fontId="54" numFmtId="0" xfId="0" applyAlignment="1" applyBorder="1" applyFill="1" applyFont="1">
      <alignment shrinkToFit="0" vertical="center" wrapText="0"/>
    </xf>
    <xf borderId="18" fillId="4" fontId="46" numFmtId="0" xfId="0" applyAlignment="1" applyBorder="1" applyFill="1" applyFont="1">
      <alignment shrinkToFit="0" vertical="center" wrapText="0"/>
    </xf>
    <xf borderId="11" fillId="4" fontId="54" numFmtId="0" xfId="0" applyAlignment="1" applyBorder="1" applyFill="1" applyFont="1">
      <alignment shrinkToFit="0" vertical="center" wrapText="0"/>
    </xf>
    <xf borderId="17" fillId="6" fontId="54" numFmtId="0" xfId="0" applyAlignment="1" applyBorder="1" applyFill="1" applyFont="1">
      <alignment shrinkToFit="0" vertical="center" wrapText="0"/>
    </xf>
    <xf borderId="0" fillId="6" fontId="54" numFmtId="0" xfId="0" applyAlignment="1" applyFill="1" applyFont="1">
      <alignment readingOrder="0" shrinkToFit="0" vertical="center" wrapText="0"/>
    </xf>
    <xf borderId="0" fillId="6" fontId="54" numFmtId="0" xfId="0" applyAlignment="1" applyFill="1" applyFont="1">
      <alignment readingOrder="0" shrinkToFit="0" vertical="center" wrapText="0"/>
    </xf>
    <xf borderId="0" fillId="0" fontId="57" numFmtId="167" xfId="0" applyAlignment="1" applyFont="1" applyNumberFormat="1">
      <alignment shrinkToFit="0" vertical="center" wrapText="0"/>
    </xf>
    <xf borderId="0" fillId="0" fontId="57" numFmtId="0" xfId="0" applyAlignment="1" applyFont="1">
      <alignment shrinkToFit="0" vertical="center" wrapText="0"/>
    </xf>
    <xf borderId="0" fillId="0" fontId="57" numFmtId="0" xfId="0" applyAlignment="1" applyFont="1">
      <alignment shrinkToFit="0" vertical="center" wrapText="0"/>
    </xf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5" pivot="0" name="Transactions-style">
      <tableStyleElement dxfId="5" type="headerRow"/>
      <tableStyleElement dxfId="6" type="firstRowStripe"/>
      <tableStyleElement dxfId="7" type="secondRowStripe"/>
      <tableStyleElement dxfId="8" type="totalRow"/>
      <tableStyleElement dxfId="9" size="0" type="wholeTable"/>
    </tableStyle>
    <tableStyle count="5" pivot="0" name="Transactions-style 2">
      <tableStyleElement dxfId="5" type="headerRow"/>
      <tableStyleElement dxfId="6" type="firstRowStripe"/>
      <tableStyleElement dxfId="7" type="secondRowStripe"/>
      <tableStyleElement dxfId="8" type="totalRow"/>
      <tableStyleElement dxfId="9" size="0" type="wholeTable"/>
    </tableStyle>
    <tableStyle count="4" pivot="0" name="Transactions-style 3">
      <tableStyleElement dxfId="5" type="headerRow"/>
      <tableStyleElement dxfId="6" type="firstRowStripe"/>
      <tableStyleElement dxfId="7" type="secondRowStripe"/>
      <tableStyleElement dxfId="9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56854"/>
                </a:solidFill>
                <a:latin typeface="Arial black"/>
              </a:defRPr>
            </a:pPr>
            <a:r>
              <a:rPr b="0">
                <a:solidFill>
                  <a:srgbClr val="356854"/>
                </a:solidFill>
                <a:latin typeface="Arial black"/>
              </a:rPr>
              <a:t>Account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Summary!$M$28:$M$32</c:f>
            </c:strRef>
          </c:cat>
          <c:val>
            <c:numRef>
              <c:f>Summary!$O$28:$O$32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 black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8</xdr:row>
      <xdr:rowOff>200025</xdr:rowOff>
    </xdr:from>
    <xdr:ext cx="5715000" cy="3533775"/>
    <xdr:pic>
      <xdr:nvPicPr>
        <xdr:cNvPr id="132339834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8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342900</xdr:colOff>
      <xdr:row>37</xdr:row>
      <xdr:rowOff>85725</xdr:rowOff>
    </xdr:from>
    <xdr:ext cx="5715000" cy="3533775"/>
    <xdr:pic>
      <xdr:nvPicPr>
        <xdr:cNvPr id="42091103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4:H95" displayName="Expenses" name="Expenses" id="1">
  <autoFilter ref="$B$4:$H$95"/>
  <tableColumns count="7">
    <tableColumn name="Date" id="1"/>
    <tableColumn totalsRowFunction="custom" name="Amount" id="2"/>
    <tableColumn name="Description" id="3"/>
    <tableColumn name="Category" id="4"/>
    <tableColumn name="Sub Category" id="5"/>
    <tableColumn name="Cost Center" id="6"/>
    <tableColumn name="Account" id="7"/>
  </tableColumns>
  <tableStyleInfo name="Transactions-style" showColumnStripes="0" showFirstColumn="1" showLastColumn="1" showRowStripes="1"/>
</table>
</file>

<file path=xl/tables/table2.xml><?xml version="1.0" encoding="utf-8"?>
<table xmlns="http://schemas.openxmlformats.org/spreadsheetml/2006/main" totalsRowCount="1" ref="J4:N11" displayName="Income" name="Income" id="2">
  <tableColumns count="5">
    <tableColumn name="Date" id="1"/>
    <tableColumn totalsRowFunction="custom" name="Amount" id="2"/>
    <tableColumn name="Description" id="3"/>
    <tableColumn name="Category" id="4"/>
    <tableColumn name="Account" id="5"/>
  </tableColumns>
  <tableStyleInfo name="Transactions-style 2" showColumnStripes="0" showFirstColumn="1" showLastColumn="1" showRowStripes="1"/>
</table>
</file>

<file path=xl/tables/table3.xml><?xml version="1.0" encoding="utf-8"?>
<table xmlns="http://schemas.openxmlformats.org/spreadsheetml/2006/main" ref="P4:T15" displayName="Transfer" name="Transfer" id="3">
  <tableColumns count="5">
    <tableColumn name="Date" id="1"/>
    <tableColumn name="Amount" id="2"/>
    <tableColumn name="Description" id="3"/>
    <tableColumn name="From" id="4"/>
    <tableColumn name="To" id="5"/>
  </tableColumns>
  <tableStyleInfo name="Transactions-style 3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8.88"/>
    <col customWidth="1" min="3" max="3" width="12.0"/>
    <col customWidth="1" min="4" max="4" width="20.63"/>
    <col customWidth="1" min="5" max="5" width="17.88"/>
    <col customWidth="1" min="6" max="6" width="16.88"/>
    <col customWidth="1" min="7" max="7" width="16.0"/>
    <col customWidth="1" min="8" max="9" width="8.88"/>
    <col customWidth="1" min="10" max="10" width="15.25"/>
    <col customWidth="1" min="11" max="11" width="19.5"/>
    <col customWidth="1" min="12" max="12" width="6.13"/>
    <col customWidth="1" min="13" max="13" width="8.88"/>
    <col customWidth="1" min="14" max="14" width="8.63"/>
    <col customWidth="1" min="15" max="15" width="21.5"/>
    <col customWidth="1" min="16" max="16" width="6.63"/>
    <col customWidth="1" min="17" max="17" width="16.63"/>
    <col customWidth="1" min="18" max="18" width="18.13"/>
    <col customWidth="1" min="19" max="19" width="12.13"/>
  </cols>
  <sheetData>
    <row r="1" ht="12.0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.0" customHeight="1">
      <c r="A2" s="3"/>
      <c r="B2" s="4" t="s">
        <v>0</v>
      </c>
      <c r="J2" s="5" t="s">
        <v>1</v>
      </c>
      <c r="L2" s="3"/>
      <c r="M2" s="3"/>
      <c r="N2" s="3"/>
      <c r="O2" s="3"/>
      <c r="P2" s="3"/>
      <c r="Q2" s="3"/>
      <c r="R2" s="3"/>
      <c r="S2" s="3"/>
    </row>
    <row r="3" ht="16.5" customHeight="1">
      <c r="A3" s="6"/>
      <c r="B3" s="7" t="s">
        <v>2</v>
      </c>
      <c r="I3" s="8"/>
      <c r="J3" s="9" t="s">
        <v>3</v>
      </c>
      <c r="L3" s="10"/>
      <c r="M3" s="10"/>
      <c r="N3" s="10"/>
      <c r="O3" s="10"/>
      <c r="P3" s="10"/>
      <c r="Q3" s="10"/>
      <c r="R3" s="10"/>
      <c r="S3" s="10"/>
    </row>
    <row r="4" ht="10.5" customHeight="1">
      <c r="A4" s="6"/>
      <c r="I4" s="8"/>
      <c r="J4" s="11" t="s">
        <v>4</v>
      </c>
      <c r="M4" s="11"/>
      <c r="N4" s="11"/>
      <c r="O4" s="11"/>
      <c r="P4" s="11"/>
      <c r="Q4" s="11"/>
      <c r="R4" s="11"/>
      <c r="S4" s="11"/>
    </row>
    <row r="5">
      <c r="A5" s="6"/>
      <c r="B5" s="7" t="s">
        <v>5</v>
      </c>
      <c r="I5" s="8"/>
      <c r="M5" s="11"/>
      <c r="N5" s="11"/>
      <c r="O5" s="11"/>
      <c r="P5" s="11"/>
      <c r="Q5" s="11"/>
      <c r="R5" s="11"/>
      <c r="S5" s="11"/>
    </row>
    <row r="6" ht="23.25" customHeight="1">
      <c r="A6" s="12"/>
      <c r="I6" s="13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ht="30.0" customHeight="1">
      <c r="A7" s="15"/>
      <c r="B7" s="16"/>
      <c r="C7" s="16"/>
      <c r="D7" s="16"/>
      <c r="E7" s="16"/>
      <c r="F7" s="17"/>
      <c r="G7" s="18"/>
      <c r="H7" s="19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ht="18.0" customHeight="1">
      <c r="A8" s="20"/>
      <c r="B8" s="21" t="s">
        <v>6</v>
      </c>
      <c r="G8" s="18"/>
      <c r="H8" s="22"/>
      <c r="I8" s="18"/>
      <c r="J8" s="23"/>
      <c r="K8" s="24"/>
      <c r="L8" s="18"/>
      <c r="M8" s="18"/>
      <c r="N8" s="18"/>
      <c r="O8" s="18"/>
      <c r="P8" s="18"/>
      <c r="Q8" s="18"/>
      <c r="R8" s="18"/>
      <c r="S8" s="18"/>
    </row>
    <row r="9" ht="18.0" customHeight="1">
      <c r="A9" s="20"/>
      <c r="G9" s="18"/>
      <c r="H9" s="22"/>
      <c r="I9" s="18"/>
      <c r="J9" s="25"/>
      <c r="K9" s="18"/>
      <c r="L9" s="18"/>
      <c r="M9" s="18"/>
      <c r="N9" s="18"/>
      <c r="O9" s="18"/>
      <c r="P9" s="18"/>
      <c r="Q9" s="18"/>
      <c r="R9" s="18"/>
      <c r="S9" s="18"/>
    </row>
    <row r="10" ht="18.0" customHeight="1">
      <c r="A10" s="18"/>
      <c r="B10" s="26"/>
      <c r="C10" s="27"/>
      <c r="D10" s="27"/>
      <c r="E10" s="27"/>
      <c r="F10" s="27"/>
      <c r="G10" s="18"/>
      <c r="H10" s="22"/>
      <c r="I10" s="18"/>
      <c r="J10" s="25"/>
      <c r="K10" s="18"/>
      <c r="L10" s="18"/>
      <c r="M10" s="18"/>
      <c r="N10" s="18"/>
      <c r="O10" s="18"/>
      <c r="P10" s="18"/>
      <c r="Q10" s="18"/>
      <c r="R10" s="18"/>
      <c r="S10" s="18"/>
    </row>
    <row r="11" ht="12.0" customHeight="1">
      <c r="A11" s="15"/>
      <c r="B11" s="28"/>
      <c r="C11" s="29"/>
      <c r="D11" s="30"/>
      <c r="E11" s="30"/>
      <c r="F11" s="15"/>
      <c r="G11" s="15"/>
      <c r="H11" s="23"/>
      <c r="I11" s="31"/>
      <c r="J11" s="31"/>
      <c r="K11" s="31"/>
      <c r="L11" s="15"/>
      <c r="M11" s="15"/>
      <c r="N11" s="15"/>
      <c r="O11" s="15"/>
      <c r="P11" s="15"/>
      <c r="Q11" s="15"/>
      <c r="R11" s="15"/>
      <c r="S11" s="15"/>
    </row>
    <row r="12" ht="18.0" customHeight="1">
      <c r="A12" s="23"/>
      <c r="B12" s="32"/>
      <c r="C12" s="23"/>
      <c r="D12" s="33"/>
      <c r="E12" s="33"/>
      <c r="F12" s="15"/>
      <c r="G12" s="15"/>
      <c r="H12" s="15"/>
      <c r="I12" s="31"/>
      <c r="J12" s="31"/>
      <c r="K12" s="31"/>
      <c r="L12" s="23"/>
      <c r="M12" s="23"/>
      <c r="N12" s="23"/>
      <c r="O12" s="23"/>
      <c r="P12" s="23"/>
      <c r="Q12" s="23"/>
      <c r="R12" s="23"/>
      <c r="S12" s="23"/>
    </row>
    <row r="13" ht="18.0" customHeight="1">
      <c r="A13" s="23"/>
      <c r="B13" s="15"/>
      <c r="C13" s="33"/>
      <c r="D13" s="33"/>
      <c r="G13" s="15"/>
      <c r="H13" s="15"/>
      <c r="I13" s="31"/>
      <c r="J13" s="34"/>
      <c r="L13" s="35"/>
      <c r="M13" s="35"/>
      <c r="N13" s="35"/>
      <c r="O13" s="35"/>
      <c r="P13" s="35"/>
      <c r="Q13" s="35"/>
      <c r="R13" s="35"/>
      <c r="S13" s="35"/>
    </row>
    <row r="14" ht="24.0" customHeight="1">
      <c r="A14" s="15"/>
      <c r="B14" s="15"/>
      <c r="C14" s="33"/>
      <c r="D14" s="33"/>
      <c r="G14" s="15"/>
      <c r="H14" s="15"/>
      <c r="I14" s="31"/>
      <c r="J14" s="36"/>
      <c r="L14" s="37"/>
      <c r="M14" s="37"/>
      <c r="N14" s="37"/>
      <c r="O14" s="37"/>
      <c r="P14" s="37"/>
      <c r="Q14" s="37"/>
      <c r="R14" s="37"/>
      <c r="S14" s="37"/>
    </row>
    <row r="15" ht="39.75" customHeight="1">
      <c r="A15" s="15"/>
      <c r="B15" s="15"/>
      <c r="C15" s="33"/>
      <c r="D15" s="33"/>
      <c r="G15" s="15"/>
      <c r="H15" s="33"/>
      <c r="I15" s="31"/>
      <c r="J15" s="38"/>
      <c r="L15" s="37"/>
      <c r="M15" s="37"/>
      <c r="N15" s="37"/>
      <c r="O15" s="37"/>
      <c r="P15" s="37"/>
      <c r="Q15" s="37"/>
      <c r="R15" s="37"/>
      <c r="S15" s="37"/>
    </row>
    <row r="16" ht="18.0" customHeight="1">
      <c r="A16" s="15"/>
      <c r="B16" s="29"/>
      <c r="C16" s="39"/>
      <c r="D16" s="40"/>
      <c r="E16" s="40"/>
      <c r="F16" s="41"/>
      <c r="G16" s="39"/>
      <c r="H16" s="42"/>
      <c r="I16" s="31"/>
      <c r="J16" s="43"/>
      <c r="L16" s="44"/>
      <c r="M16" s="44"/>
      <c r="N16" s="44"/>
      <c r="O16" s="44"/>
      <c r="P16" s="44"/>
      <c r="Q16" s="44"/>
      <c r="R16" s="44"/>
      <c r="S16" s="44"/>
    </row>
    <row r="17" ht="18.0" customHeight="1">
      <c r="A17" s="23"/>
      <c r="B17" s="15"/>
      <c r="C17" s="23"/>
      <c r="D17" s="45"/>
      <c r="E17" s="45"/>
      <c r="F17" s="46"/>
      <c r="G17" s="23"/>
      <c r="H17" s="33"/>
      <c r="I17" s="31"/>
      <c r="J17" s="31"/>
      <c r="L17" s="23"/>
      <c r="M17" s="23"/>
      <c r="N17" s="23"/>
      <c r="O17" s="23"/>
      <c r="P17" s="23"/>
      <c r="Q17" s="23"/>
      <c r="R17" s="23"/>
      <c r="S17" s="23"/>
    </row>
    <row r="18" ht="87.75" customHeight="1">
      <c r="A18" s="23"/>
      <c r="B18" s="47"/>
      <c r="C18" s="47"/>
      <c r="D18" s="47"/>
      <c r="E18" s="47"/>
      <c r="F18" s="47"/>
      <c r="G18" s="47"/>
      <c r="H18" s="23"/>
      <c r="I18" s="31"/>
      <c r="J18" s="31"/>
      <c r="K18" s="31"/>
      <c r="L18" s="23"/>
      <c r="M18" s="23"/>
      <c r="N18" s="23"/>
      <c r="O18" s="23"/>
      <c r="P18" s="23"/>
      <c r="Q18" s="23"/>
      <c r="R18" s="23"/>
      <c r="S18" s="23"/>
    </row>
    <row r="19" ht="24.0" customHeight="1">
      <c r="A19" s="23"/>
      <c r="B19" s="47"/>
      <c r="C19" s="47"/>
      <c r="D19" s="47"/>
      <c r="E19" s="47"/>
      <c r="F19" s="47"/>
      <c r="G19" s="47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ht="24.0" customHeight="1">
      <c r="A20" s="48"/>
      <c r="B20" s="49" t="s">
        <v>7</v>
      </c>
      <c r="H20" s="48"/>
      <c r="I20" s="49" t="s">
        <v>8</v>
      </c>
      <c r="J20" s="49"/>
      <c r="K20" s="48"/>
      <c r="L20" s="48"/>
      <c r="M20" s="48"/>
      <c r="N20" s="48"/>
      <c r="O20" s="48"/>
      <c r="P20" s="48"/>
      <c r="Q20" s="48"/>
      <c r="R20" s="48"/>
      <c r="S20" s="48"/>
    </row>
    <row r="21" ht="19.5" customHeight="1">
      <c r="A21" s="50"/>
      <c r="B21" s="51" t="s">
        <v>9</v>
      </c>
      <c r="C21" s="52">
        <f>E26</f>
        <v>9420032</v>
      </c>
      <c r="D21" s="53"/>
      <c r="E21" s="53" t="str">
        <f>IFERROR(__xludf.DUMMYFUNCTION("SPARKLINE(C21,{""charttype"",""bar"";""max"",max(C21:C22);""color1"",""#b7e1cd""})"),"")</f>
        <v/>
      </c>
      <c r="H21" s="50"/>
      <c r="I21" s="51"/>
      <c r="J21" s="52"/>
      <c r="K21" s="53"/>
      <c r="L21" s="50"/>
      <c r="M21" s="50"/>
      <c r="N21" s="50"/>
      <c r="O21" s="50"/>
      <c r="P21" s="50"/>
      <c r="Q21" s="50"/>
      <c r="R21" s="50"/>
      <c r="S21" s="50"/>
    </row>
    <row r="22" ht="19.5" customHeight="1">
      <c r="A22" s="54"/>
      <c r="B22" s="55" t="s">
        <v>10</v>
      </c>
      <c r="C22" s="56">
        <f>F26</f>
        <v>8474129</v>
      </c>
      <c r="D22" s="57"/>
      <c r="E22" s="57" t="str">
        <f>IFERROR(__xludf.DUMMYFUNCTION("SPARKLINE(C22,{""charttype"",""bar"";""max"",max(C21:C22);""color1"",""#356854""})"),"")</f>
        <v/>
      </c>
      <c r="H22" s="47"/>
      <c r="I22" s="55" t="s">
        <v>10</v>
      </c>
      <c r="J22" s="56">
        <f>K26</f>
        <v>9671244</v>
      </c>
      <c r="K22" s="57"/>
      <c r="L22" s="54"/>
      <c r="M22" s="54"/>
      <c r="N22" s="54"/>
      <c r="O22" s="54"/>
      <c r="P22" s="54"/>
      <c r="Q22" s="54"/>
      <c r="R22" s="54"/>
      <c r="S22" s="54"/>
    </row>
    <row r="23" ht="30.0" customHeight="1">
      <c r="A23" s="15"/>
      <c r="B23" s="58"/>
      <c r="C23" s="59"/>
      <c r="D23" s="60"/>
      <c r="E23" s="60"/>
      <c r="H23" s="15"/>
      <c r="I23" s="58"/>
      <c r="J23" s="59"/>
      <c r="K23" s="60"/>
      <c r="L23" s="54"/>
      <c r="M23" s="54"/>
      <c r="N23" s="54"/>
      <c r="O23" s="54"/>
      <c r="P23" s="54"/>
      <c r="Q23" s="54"/>
      <c r="R23" s="54"/>
      <c r="S23" s="54"/>
    </row>
    <row r="24" ht="29.25" customHeight="1">
      <c r="A24" s="61"/>
      <c r="B24" s="62" t="s">
        <v>7</v>
      </c>
      <c r="D24" s="63"/>
      <c r="E24" s="63"/>
      <c r="F24" s="63"/>
      <c r="G24" s="63"/>
      <c r="H24" s="64"/>
      <c r="I24" s="65" t="s">
        <v>8</v>
      </c>
      <c r="J24" s="66"/>
      <c r="K24" s="63"/>
      <c r="L24" s="67"/>
      <c r="M24" s="68" t="s">
        <v>11</v>
      </c>
      <c r="N24" s="66"/>
      <c r="O24" s="69"/>
      <c r="P24" s="69"/>
      <c r="Q24" s="68" t="s">
        <v>12</v>
      </c>
      <c r="S24" s="68"/>
    </row>
    <row r="25" ht="19.5" customHeight="1">
      <c r="A25" s="70"/>
      <c r="B25" s="71"/>
      <c r="C25" s="72"/>
      <c r="D25" s="71"/>
      <c r="E25" s="71" t="s">
        <v>9</v>
      </c>
      <c r="F25" s="73" t="s">
        <v>10</v>
      </c>
      <c r="G25" s="73" t="s">
        <v>13</v>
      </c>
      <c r="H25" s="74"/>
      <c r="I25" s="75"/>
      <c r="J25" s="76"/>
      <c r="K25" s="73" t="s">
        <v>10</v>
      </c>
      <c r="L25" s="70"/>
      <c r="M25" s="75"/>
      <c r="N25" s="76"/>
      <c r="O25" s="73" t="s">
        <v>10</v>
      </c>
      <c r="P25" s="77"/>
      <c r="Q25" s="75"/>
      <c r="R25" s="76"/>
      <c r="S25" s="73" t="s">
        <v>10</v>
      </c>
    </row>
    <row r="26" ht="17.25" customHeight="1">
      <c r="A26" s="78"/>
      <c r="B26" s="79" t="s">
        <v>14</v>
      </c>
      <c r="C26" s="80"/>
      <c r="D26" s="81"/>
      <c r="E26" s="81">
        <f>SUMIF(B27:B66, "&lt;&gt;", E27:E66)</f>
        <v>9420032</v>
      </c>
      <c r="F26" s="81">
        <f>SUMIF(B27:B66, "&lt;&gt;", F27:F66)</f>
        <v>8474129</v>
      </c>
      <c r="G26" s="81">
        <f>SUMIF(B27:B66, "&lt;&gt;", G27:G66)</f>
        <v>879103</v>
      </c>
      <c r="H26" s="82"/>
      <c r="I26" s="83" t="s">
        <v>14</v>
      </c>
      <c r="J26" s="84"/>
      <c r="K26" s="81">
        <f>sum(K29:K65)</f>
        <v>9671244</v>
      </c>
      <c r="L26" s="78"/>
      <c r="M26" s="83" t="s">
        <v>14</v>
      </c>
      <c r="N26" s="84"/>
      <c r="O26" s="81">
        <f>sum(O27:O32)</f>
        <v>1569815</v>
      </c>
      <c r="P26" s="85"/>
      <c r="Q26" s="83" t="s">
        <v>14</v>
      </c>
      <c r="R26" s="84"/>
      <c r="S26" s="86">
        <v>3425000.0</v>
      </c>
    </row>
    <row r="27" ht="18.0" hidden="1" customHeight="1">
      <c r="A27" s="87"/>
      <c r="B27" s="88"/>
      <c r="C27" s="89"/>
      <c r="D27" s="90"/>
      <c r="E27" s="90"/>
      <c r="F27" s="91" t="str">
        <f>if(isblank($B27), "", sumif(Transactions!$E:$E,$B27,Transactions!$C:$C))</f>
        <v/>
      </c>
      <c r="G27" s="92" t="str">
        <f>if(isblank($B27), "", E27-F27)</f>
        <v/>
      </c>
      <c r="H27" s="93"/>
      <c r="I27" s="94"/>
      <c r="J27" s="95"/>
      <c r="K27" s="92" t="str">
        <f>if(isblank($I27), "", sumif(#REF!,$I27,#REF!))</f>
        <v/>
      </c>
      <c r="L27" s="87"/>
      <c r="M27" s="94"/>
      <c r="N27" s="95"/>
      <c r="O27" s="92" t="str">
        <f>if(isblank($I27), "", sumif(#REF!,$I27,#REF!))</f>
        <v/>
      </c>
      <c r="P27" s="92"/>
      <c r="Q27" s="92"/>
      <c r="R27" s="92"/>
      <c r="S27" s="92"/>
    </row>
    <row r="28" ht="18.0" customHeight="1">
      <c r="A28" s="87"/>
      <c r="B28" s="96" t="s">
        <v>15</v>
      </c>
      <c r="C28" s="97"/>
      <c r="D28" s="98"/>
      <c r="E28" s="99">
        <v>2700000.0</v>
      </c>
      <c r="F28" s="100">
        <f>if(isblank($B28), "", sumif(Expenses[Category],$B28,Expenses[Amount]))</f>
        <v>1235128</v>
      </c>
      <c r="G28" s="101">
        <f>if(isblank($B28), "", E28- sumif(Expenses[Cost Center],$B28,Expenses[Amount]))</f>
        <v>1131672</v>
      </c>
      <c r="H28" s="93"/>
      <c r="I28" s="102" t="s">
        <v>16</v>
      </c>
      <c r="J28" s="97"/>
      <c r="K28" s="92">
        <f>if(isblank($I28), "", sumif(Income[Category],$I28,Income[Amount]))</f>
        <v>1800000</v>
      </c>
      <c r="L28" s="87"/>
      <c r="M28" s="103" t="s">
        <v>17</v>
      </c>
      <c r="N28" s="97"/>
      <c r="O28" s="92">
        <f>if(isblank($M28), "", ((sumif(Transfer[To],$M28,Transfer[Amount]) + sumif(Income[Account],$M28,Income[Amount])) - sumif(Transfer[From],$M28,Transfer[Amount]) - sumif(Expenses[Account],$M28,Expenses[Amount])))</f>
        <v>609782</v>
      </c>
      <c r="P28" s="92"/>
      <c r="Q28" s="92"/>
      <c r="R28" s="92"/>
      <c r="S28" s="92"/>
    </row>
    <row r="29" ht="18.0" customHeight="1">
      <c r="A29" s="87"/>
      <c r="B29" s="104"/>
      <c r="C29" s="104"/>
      <c r="D29" s="105" t="s">
        <v>18</v>
      </c>
      <c r="E29" s="106">
        <v>0.0</v>
      </c>
      <c r="F29" s="92">
        <f>if(isblank($D29), "", sumif(Expenses[Sub Category],$D29,Expenses[Amount]))</f>
        <v>335391</v>
      </c>
      <c r="G29" s="101" t="str">
        <f>if(isblank($B29), "", E29- sumif(Expenses[Cost Center],$B29,Expenses[Amount]))</f>
        <v/>
      </c>
      <c r="H29" s="93"/>
      <c r="I29" s="102" t="s">
        <v>19</v>
      </c>
      <c r="J29" s="97"/>
      <c r="K29" s="92">
        <f>if(isblank($I29), "", sumif(Income[Category],$I29,Income[Amount]))</f>
        <v>9391708</v>
      </c>
      <c r="L29" s="87"/>
      <c r="M29" s="103" t="s">
        <v>20</v>
      </c>
      <c r="N29" s="97"/>
      <c r="O29" s="92">
        <f>if(isblank($M29), "", ((sumif(Transfer[To],$M29,Transfer[Amount]) + sumif(Income[Account],$M29,Income[Amount])) - sumif(Transfer[From],$M29,Transfer[Amount]) - sumif(Expenses[Account],$M29,Expenses[Amount])))</f>
        <v>112000</v>
      </c>
      <c r="P29" s="92"/>
      <c r="Q29" s="92"/>
      <c r="R29" s="92"/>
      <c r="S29" s="92"/>
    </row>
    <row r="30" ht="18.0" customHeight="1">
      <c r="A30" s="87"/>
      <c r="B30" s="104"/>
      <c r="C30" s="104"/>
      <c r="D30" s="105" t="s">
        <v>21</v>
      </c>
      <c r="E30" s="106">
        <v>0.0</v>
      </c>
      <c r="F30" s="92">
        <f>if(isblank($D30), "", sumif(Expenses[Sub Category],$D30,Expenses[Amount]))</f>
        <v>247017</v>
      </c>
      <c r="G30" s="101" t="str">
        <f>if(isblank($B30), "", E30- sumif(Expenses[Cost Center],$B30,Expenses[Amount]))</f>
        <v/>
      </c>
      <c r="H30" s="93"/>
      <c r="I30" s="102" t="s">
        <v>22</v>
      </c>
      <c r="J30" s="97"/>
      <c r="K30" s="92">
        <f>if(isblank($I30), "", sumif(Income[Category],$I30,Income[Amount]))</f>
        <v>0</v>
      </c>
      <c r="L30" s="87"/>
      <c r="M30" s="103" t="s">
        <v>23</v>
      </c>
      <c r="N30" s="97"/>
      <c r="O30" s="92">
        <f>if(isblank($M30), "", ((sumif(Transfer[To],$M30,Transfer[Amount]) + sumif(Income[Account],$M30,Income[Amount])) - sumif(Transfer[From],$M30,Transfer[Amount]) - sumif(Expenses[Account],$M30,Expenses[Amount])))</f>
        <v>30000</v>
      </c>
      <c r="P30" s="92"/>
      <c r="Q30" s="92"/>
      <c r="R30" s="92"/>
      <c r="S30" s="92"/>
    </row>
    <row r="31" ht="18.0" customHeight="1">
      <c r="A31" s="87"/>
      <c r="B31" s="104"/>
      <c r="C31" s="104"/>
      <c r="D31" s="105" t="s">
        <v>24</v>
      </c>
      <c r="E31" s="106">
        <v>0.0</v>
      </c>
      <c r="F31" s="92">
        <f>if(isblank($D31), "", sumif(Expenses[Sub Category],$D31,Expenses[Amount]))</f>
        <v>407700</v>
      </c>
      <c r="G31" s="101" t="str">
        <f>if(isblank($B31), "", E31- sumif(Expenses[Cost Center],$B31,Expenses[Amount]))</f>
        <v/>
      </c>
      <c r="H31" s="93"/>
      <c r="I31" s="102" t="s">
        <v>25</v>
      </c>
      <c r="J31" s="97"/>
      <c r="K31" s="92">
        <f>if(isblank($I31), "", sumif(Income[Category],$I31,Income[Amount]))</f>
        <v>0</v>
      </c>
      <c r="L31" s="87"/>
      <c r="M31" s="103" t="s">
        <v>26</v>
      </c>
      <c r="N31" s="97"/>
      <c r="O31" s="92">
        <f>if(isblank($M31), "", ((sumif(Transfer[To],$M31,Transfer[Amount]) + sumif(Income[Account],$M31,Income[Amount])) - sumif(Transfer[From],$M31,Transfer[Amount]) - sumif(Expenses[Account],$M31,Expenses[Amount])))</f>
        <v>409441</v>
      </c>
      <c r="P31" s="92"/>
      <c r="Q31" s="92"/>
      <c r="R31" s="92"/>
      <c r="S31" s="92"/>
    </row>
    <row r="32" ht="18.0" customHeight="1">
      <c r="A32" s="87"/>
      <c r="B32" s="104"/>
      <c r="C32" s="104"/>
      <c r="D32" s="105" t="s">
        <v>27</v>
      </c>
      <c r="E32" s="106">
        <v>0.0</v>
      </c>
      <c r="F32" s="92">
        <f>if(isblank($D32), "", sumif(Expenses[Sub Category],$D32,Expenses[Amount]))</f>
        <v>0</v>
      </c>
      <c r="G32" s="101" t="str">
        <f>if(isblank($B32), "", E32- sumif(Expenses[Cost Center],$B32,Expenses[Amount]))</f>
        <v/>
      </c>
      <c r="H32" s="93"/>
      <c r="I32" s="103" t="s">
        <v>28</v>
      </c>
      <c r="J32" s="97"/>
      <c r="K32" s="92">
        <f>if(isblank($I32), "", sumif(Income[Category],$I32,Income[Amount]))</f>
        <v>48000</v>
      </c>
      <c r="L32" s="87"/>
      <c r="M32" s="103" t="s">
        <v>29</v>
      </c>
      <c r="N32" s="97"/>
      <c r="O32" s="92">
        <f>if(isblank($M32), "", ((sumif(Transfer[To],$M32,Transfer[Amount]) + sumif(Income[Account],$M32,Income[Amount])) - sumif(Transfer[From],$M32,Transfer[Amount]) - sumif(Expenses[Account],$M32,Expenses[Amount])))</f>
        <v>408592</v>
      </c>
      <c r="P32" s="92"/>
      <c r="Q32" s="92"/>
      <c r="R32" s="92"/>
      <c r="S32" s="92"/>
    </row>
    <row r="33" ht="18.0" customHeight="1">
      <c r="A33" s="87"/>
      <c r="B33" s="104"/>
      <c r="C33" s="104"/>
      <c r="D33" s="107" t="s">
        <v>30</v>
      </c>
      <c r="E33" s="106">
        <v>0.0</v>
      </c>
      <c r="F33" s="92">
        <f>if(isblank($D33), "", sumif(Expenses[Sub Category],$D33,Expenses[Amount]))</f>
        <v>26000</v>
      </c>
      <c r="G33" s="101" t="str">
        <f>if(isblank($B33), "", E33- sumif(Expenses[Cost Center],$B33,Expenses[Amount]))</f>
        <v/>
      </c>
      <c r="H33" s="93"/>
      <c r="I33" s="103" t="s">
        <v>31</v>
      </c>
      <c r="J33" s="97"/>
      <c r="K33" s="92">
        <f>if(isblank($I33), "", sumif(Income[Category],$I33,Income[Amount]))</f>
        <v>231536</v>
      </c>
      <c r="L33" s="87"/>
      <c r="M33" s="103" t="s">
        <v>32</v>
      </c>
      <c r="N33" s="97"/>
      <c r="O33" s="92">
        <f>if(isblank($M33), "", ((sumif(Transfer[To],$M33,Transfer[Amount]) + sumif(Income[Account],$M33,Income[Amount])) - sumif(Transfer[From],$M33,Transfer[Amount]) - sumif(Expenses[Account],$M33,Expenses[Amount]))) + S26</f>
        <v>4725000</v>
      </c>
      <c r="P33" s="92"/>
      <c r="Q33" s="92"/>
      <c r="R33" s="92"/>
      <c r="S33" s="92"/>
    </row>
    <row r="34" ht="18.0" customHeight="1">
      <c r="A34" s="87"/>
      <c r="B34" s="104"/>
      <c r="C34" s="104"/>
      <c r="D34" s="107" t="s">
        <v>33</v>
      </c>
      <c r="E34" s="106">
        <v>0.0</v>
      </c>
      <c r="F34" s="92">
        <f>if(isblank($D34), "", sumif(Expenses[Sub Category],$D34,Expenses[Amount]))</f>
        <v>30500</v>
      </c>
      <c r="G34" s="101" t="str">
        <f>if(isblank($B34), "", E34- sumif(Expenses[Cost Center],$B34,Expenses[Amount]))</f>
        <v/>
      </c>
      <c r="H34" s="93"/>
      <c r="I34" s="108" t="s">
        <v>34</v>
      </c>
      <c r="J34" s="97"/>
      <c r="K34" s="92">
        <f>if(isblank($I34), "", sumif(Income[Category],$I34,Income[Amount]))</f>
        <v>0</v>
      </c>
      <c r="L34" s="54"/>
      <c r="R34" s="92"/>
      <c r="S34" s="92"/>
    </row>
    <row r="35" ht="18.0" customHeight="1">
      <c r="A35" s="87"/>
      <c r="B35" s="96" t="s">
        <v>35</v>
      </c>
      <c r="C35" s="97"/>
      <c r="D35" s="98"/>
      <c r="E35" s="99">
        <v>1800000.0</v>
      </c>
      <c r="F35" s="100">
        <f>if(isblank($B35), "", sumif(Expenses[Category],$B35,Expenses[Amount]))</f>
        <v>2085400</v>
      </c>
      <c r="G35" s="101">
        <f>if(isblank($B35), "", E35- sumif(Expenses[Cost Center],$B35,Expenses[Amount]))</f>
        <v>-57200</v>
      </c>
      <c r="H35" s="93"/>
      <c r="R35" s="92"/>
      <c r="S35" s="92"/>
    </row>
    <row r="36" ht="18.0" customHeight="1">
      <c r="A36" s="87"/>
      <c r="B36" s="104"/>
      <c r="C36" s="104"/>
      <c r="D36" s="109" t="s">
        <v>36</v>
      </c>
      <c r="E36" s="106">
        <v>0.0</v>
      </c>
      <c r="F36" s="92">
        <f>if(isblank($D36), "", sumif(Expenses[Sub Category],$D36,Expenses[Amount]))</f>
        <v>1292500</v>
      </c>
      <c r="G36" s="101" t="str">
        <f>if(isblank($B36), "", E36- sumif(Expenses[Cost Center],$B36,Expenses[Amount]))</f>
        <v/>
      </c>
      <c r="H36" s="93"/>
    </row>
    <row r="37" ht="18.0" customHeight="1">
      <c r="A37" s="87"/>
      <c r="B37" s="104"/>
      <c r="C37" s="104"/>
      <c r="D37" s="109" t="s">
        <v>37</v>
      </c>
      <c r="E37" s="106">
        <v>0.0</v>
      </c>
      <c r="F37" s="92">
        <f>if(isblank($D37), "", sumif(Expenses[Sub Category],$D37,Expenses[Amount]))</f>
        <v>45000</v>
      </c>
      <c r="G37" s="101" t="str">
        <f>if(isblank($B37), "", E37- sumif(Expenses[Cost Center],$B37,Expenses[Amount]))</f>
        <v/>
      </c>
      <c r="H37" s="93"/>
      <c r="I37" s="103"/>
      <c r="J37" s="97"/>
      <c r="K37" s="92"/>
      <c r="L37" s="87"/>
      <c r="M37" s="110"/>
      <c r="O37" s="92"/>
      <c r="P37" s="92"/>
      <c r="Q37" s="92"/>
      <c r="R37" s="92"/>
      <c r="S37" s="92"/>
    </row>
    <row r="38" ht="18.0" customHeight="1">
      <c r="A38" s="87"/>
      <c r="B38" s="104"/>
      <c r="C38" s="104"/>
      <c r="D38" s="109" t="s">
        <v>38</v>
      </c>
      <c r="E38" s="106">
        <v>0.0</v>
      </c>
      <c r="F38" s="92">
        <f>if(isblank($D38), "", sumif(Expenses[Sub Category],$D38,Expenses[Amount]))</f>
        <v>747900</v>
      </c>
      <c r="G38" s="101" t="str">
        <f>if(isblank($B38), "", E38- sumif(Expenses[Cost Center],$B38,Expenses[Amount]))</f>
        <v/>
      </c>
      <c r="H38" s="93"/>
      <c r="I38" s="103"/>
      <c r="J38" s="97"/>
      <c r="K38" s="92"/>
      <c r="L38" s="87"/>
      <c r="M38" s="110"/>
      <c r="O38" s="92"/>
      <c r="P38" s="92"/>
      <c r="Q38" s="92"/>
      <c r="R38" s="92"/>
      <c r="S38" s="92"/>
    </row>
    <row r="39" ht="18.0" customHeight="1">
      <c r="A39" s="54"/>
      <c r="B39" s="96" t="s">
        <v>39</v>
      </c>
      <c r="C39" s="97"/>
      <c r="D39" s="98"/>
      <c r="E39" s="99">
        <v>200000.0</v>
      </c>
      <c r="F39" s="100">
        <f>if(isblank($B39), "", sumif(Expenses[Category],$B39,Expenses[Amount]))</f>
        <v>0</v>
      </c>
      <c r="G39" s="101">
        <f>if(isblank($B39), "", E39- sumif(Expenses[Cost Center],$B39,Expenses[Amount]))</f>
        <v>140831</v>
      </c>
      <c r="H39" s="111"/>
      <c r="L39" s="54"/>
    </row>
    <row r="40" ht="18.0" customHeight="1">
      <c r="A40" s="54"/>
      <c r="B40" s="96" t="s">
        <v>40</v>
      </c>
      <c r="C40" s="97"/>
      <c r="D40" s="98"/>
      <c r="E40" s="99">
        <v>0.0</v>
      </c>
      <c r="F40" s="100">
        <f>if(isblank($B40), "", sumif(Expenses[Category],$B40,Expenses[Amount]))</f>
        <v>493700</v>
      </c>
      <c r="G40" s="101">
        <f>if(isblank($B40), "", E40- sumif(Expenses[Cost Center],$B40,Expenses[Amount]))</f>
        <v>0</v>
      </c>
      <c r="H40" s="111"/>
      <c r="L40" s="54"/>
    </row>
    <row r="41" ht="18.0" customHeight="1">
      <c r="A41" s="54"/>
      <c r="B41" s="104"/>
      <c r="C41" s="104"/>
      <c r="D41" s="105" t="s">
        <v>41</v>
      </c>
      <c r="E41" s="106">
        <v>0.0</v>
      </c>
      <c r="F41" s="92">
        <f>if(isblank($D41), "", sumif(Expenses[Sub Category],$D41,Expenses[Amount]))</f>
        <v>339900</v>
      </c>
      <c r="G41" s="101" t="str">
        <f>if(isblank($B41), "", E41- sumif(Expenses[Cost Center],$B41,Expenses[Amount]))</f>
        <v/>
      </c>
      <c r="H41" s="111"/>
      <c r="I41" s="112"/>
      <c r="L41" s="113"/>
    </row>
    <row r="42" ht="18.0" customHeight="1">
      <c r="A42" s="54"/>
      <c r="B42" s="104"/>
      <c r="C42" s="104"/>
      <c r="D42" s="105" t="s">
        <v>42</v>
      </c>
      <c r="E42" s="106">
        <v>0.0</v>
      </c>
      <c r="F42" s="92">
        <f>if(isblank($D42), "", sumif(Expenses[Sub Category],$D42,Expenses[Amount]))</f>
        <v>153800</v>
      </c>
      <c r="G42" s="101" t="str">
        <f>if(isblank($B42), "", E42- sumif(Expenses[Cost Center],$B42,Expenses[Amount]))</f>
        <v/>
      </c>
      <c r="H42" s="111"/>
      <c r="I42" s="114"/>
      <c r="K42" s="115"/>
      <c r="L42" s="113"/>
    </row>
    <row r="43" ht="18.0" customHeight="1">
      <c r="A43" s="54"/>
      <c r="B43" s="104"/>
      <c r="C43" s="104"/>
      <c r="D43" s="105" t="s">
        <v>43</v>
      </c>
      <c r="E43" s="106">
        <v>0.0</v>
      </c>
      <c r="F43" s="92">
        <f>if(isblank($D43), "", sumif(Expenses[Sub Category],$D43,Expenses[Amount]))</f>
        <v>0</v>
      </c>
      <c r="G43" s="101" t="str">
        <f>if(isblank($B43), "", E43- sumif(Expenses[Cost Center],$B43,Expenses[Amount]))</f>
        <v/>
      </c>
      <c r="H43" s="111"/>
      <c r="I43" s="112"/>
      <c r="K43" s="115"/>
      <c r="L43" s="113"/>
    </row>
    <row r="44" ht="18.0" customHeight="1">
      <c r="A44" s="54"/>
      <c r="B44" s="104"/>
      <c r="C44" s="104"/>
      <c r="D44" s="105" t="s">
        <v>44</v>
      </c>
      <c r="E44" s="106">
        <v>0.0</v>
      </c>
      <c r="F44" s="92">
        <f>if(isblank($D44), "", sumif(Expenses[Sub Category],$D44,Expenses[Amount]))</f>
        <v>0</v>
      </c>
      <c r="G44" s="101" t="str">
        <f>if(isblank($B44), "", E44- sumif(Expenses[Cost Center],$B44,Expenses[Amount]))</f>
        <v/>
      </c>
      <c r="H44" s="111"/>
      <c r="I44" s="112"/>
      <c r="K44" s="115"/>
      <c r="L44" s="113"/>
    </row>
    <row r="45" ht="18.0" customHeight="1">
      <c r="A45" s="54"/>
      <c r="B45" s="96" t="s">
        <v>45</v>
      </c>
      <c r="C45" s="97"/>
      <c r="D45" s="98"/>
      <c r="E45" s="99">
        <v>0.0</v>
      </c>
      <c r="F45" s="100">
        <f>if(isblank($B45), "", sumif(Expenses[Category],$B45,Expenses[Amount]))</f>
        <v>95669</v>
      </c>
      <c r="G45" s="101">
        <f>if(isblank($B45), "", E45- sumif(Expenses[Cost Center],$B45,Expenses[Amount]))</f>
        <v>0</v>
      </c>
      <c r="H45" s="111"/>
      <c r="I45" s="112"/>
      <c r="K45" s="116"/>
      <c r="L45" s="117"/>
      <c r="M45" s="115"/>
    </row>
    <row r="46" ht="18.0" customHeight="1">
      <c r="A46" s="54"/>
      <c r="B46" s="96" t="s">
        <v>46</v>
      </c>
      <c r="C46" s="97"/>
      <c r="D46" s="98"/>
      <c r="E46" s="99">
        <v>70000.0</v>
      </c>
      <c r="F46" s="100">
        <f>if(isblank($B46), "", sumif(Expenses[Category],$B46,Expenses[Amount]))</f>
        <v>102250</v>
      </c>
      <c r="G46" s="101">
        <f>if(isblank($B46), "", E46- sumif(Expenses[Cost Center],$B46,Expenses[Amount]))</f>
        <v>-48250</v>
      </c>
      <c r="H46" s="118"/>
      <c r="I46" s="119"/>
      <c r="J46" s="120"/>
      <c r="K46" s="115"/>
      <c r="L46" s="113"/>
      <c r="N46" s="121"/>
      <c r="O46" s="92"/>
      <c r="P46" s="92"/>
      <c r="Q46" s="92"/>
      <c r="R46" s="92"/>
      <c r="S46" s="92"/>
    </row>
    <row r="47" ht="18.0" customHeight="1">
      <c r="A47" s="54"/>
      <c r="B47" s="96" t="s">
        <v>47</v>
      </c>
      <c r="C47" s="97"/>
      <c r="D47" s="98"/>
      <c r="E47" s="99">
        <v>0.0</v>
      </c>
      <c r="F47" s="100">
        <f>if(isblank($B47), "", sumif(Expenses[Category],$B47,Expenses[Amount]))</f>
        <v>0</v>
      </c>
      <c r="G47" s="101">
        <f>if(isblank($B47), "", E47- sumif(Expenses[Cost Center],$B47,Expenses[Amount]))</f>
        <v>0</v>
      </c>
      <c r="H47" s="111"/>
      <c r="I47" s="122"/>
      <c r="J47" s="117"/>
      <c r="L47" s="54"/>
      <c r="N47" s="54"/>
      <c r="O47" s="54"/>
      <c r="P47" s="54"/>
      <c r="Q47" s="54"/>
      <c r="R47" s="54"/>
      <c r="S47" s="54"/>
    </row>
    <row r="48" ht="18.0" customHeight="1">
      <c r="A48" s="54"/>
      <c r="B48" s="96" t="s">
        <v>48</v>
      </c>
      <c r="C48" s="97"/>
      <c r="D48" s="98"/>
      <c r="E48" s="99">
        <v>0.0</v>
      </c>
      <c r="F48" s="100">
        <f>if(isblank($B48), "", sumif(Expenses[Category],$B48,Expenses[Amount]))</f>
        <v>0</v>
      </c>
      <c r="G48" s="101">
        <f>if(isblank($B48), "", E48- sumif(Expenses[Cost Center],$B48,Expenses[Amount]))</f>
        <v>0</v>
      </c>
      <c r="H48" s="111"/>
      <c r="I48" s="122"/>
      <c r="J48" s="120"/>
      <c r="K48" s="123"/>
      <c r="L48" s="113"/>
      <c r="N48" s="54"/>
      <c r="O48" s="54"/>
      <c r="P48" s="54"/>
      <c r="Q48" s="54"/>
      <c r="R48" s="54"/>
      <c r="S48" s="54"/>
    </row>
    <row r="49" ht="18.0" customHeight="1">
      <c r="A49" s="54"/>
      <c r="B49" s="96" t="s">
        <v>49</v>
      </c>
      <c r="C49" s="97"/>
      <c r="D49" s="98"/>
      <c r="E49" s="99">
        <v>700032.0</v>
      </c>
      <c r="F49" s="100">
        <f>if(isblank($B49), "", sumif(Expenses[Category],$B49,Expenses[Amount]))</f>
        <v>700032</v>
      </c>
      <c r="G49" s="101">
        <f>if(isblank($B49), "", E49- sumif(Expenses[Cost Center],$B49,Expenses[Amount]))</f>
        <v>0</v>
      </c>
      <c r="H49" s="111"/>
      <c r="I49" s="122"/>
      <c r="J49" s="120"/>
      <c r="K49" s="123"/>
      <c r="L49" s="113"/>
      <c r="N49" s="54"/>
      <c r="O49" s="54"/>
      <c r="P49" s="54"/>
      <c r="Q49" s="54"/>
      <c r="R49" s="54"/>
      <c r="S49" s="54"/>
    </row>
    <row r="50" ht="18.0" customHeight="1">
      <c r="A50" s="54"/>
      <c r="B50" s="96" t="s">
        <v>50</v>
      </c>
      <c r="C50" s="97"/>
      <c r="D50" s="98"/>
      <c r="E50" s="99">
        <v>2100000.0</v>
      </c>
      <c r="F50" s="100">
        <f>if(isblank($B50), "", sumif(Expenses[Category],$B50,Expenses[Amount]))</f>
        <v>1897450</v>
      </c>
      <c r="G50" s="101">
        <f>if(isblank($B50), "", E50- sumif(Expenses[Cost Center],$B50,Expenses[Amount]))</f>
        <v>200050</v>
      </c>
      <c r="H50" s="111"/>
      <c r="I50" s="122"/>
      <c r="J50" s="97"/>
      <c r="K50" s="123"/>
      <c r="L50" s="113"/>
      <c r="N50" s="54"/>
      <c r="O50" s="54"/>
      <c r="P50" s="54"/>
      <c r="Q50" s="54"/>
      <c r="R50" s="54"/>
      <c r="S50" s="54"/>
    </row>
    <row r="51" ht="18.0" customHeight="1">
      <c r="A51" s="54"/>
      <c r="B51" s="104"/>
      <c r="C51" s="104"/>
      <c r="D51" s="105" t="s">
        <v>51</v>
      </c>
      <c r="E51" s="106">
        <v>1600000.0</v>
      </c>
      <c r="F51" s="92">
        <f>if(isblank($D51), "", sumif(Expenses[Sub Category],$D51,Expenses[Amount]))</f>
        <v>1600000</v>
      </c>
      <c r="G51" s="101" t="str">
        <f>if(isblank($B51), "", E51- sumif(Expenses[Cost Center],$B51,Expenses[Amount]))</f>
        <v/>
      </c>
      <c r="H51" s="111"/>
      <c r="K51" s="123"/>
      <c r="L51" s="113"/>
      <c r="N51" s="54"/>
      <c r="O51" s="54"/>
      <c r="P51" s="54"/>
      <c r="Q51" s="54"/>
      <c r="R51" s="54"/>
      <c r="S51" s="54"/>
    </row>
    <row r="52" ht="18.0" customHeight="1">
      <c r="A52" s="54"/>
      <c r="B52" s="104"/>
      <c r="C52" s="104"/>
      <c r="D52" s="105" t="s">
        <v>52</v>
      </c>
      <c r="E52" s="106">
        <v>200000.0</v>
      </c>
      <c r="F52" s="92">
        <f>if(isblank($D52), "", sumif(Expenses[Sub Category],$D52,Expenses[Amount]))</f>
        <v>40950</v>
      </c>
      <c r="G52" s="101" t="str">
        <f>if(isblank($B52), "", E52- sumif(Expenses[Cost Center],$B52,Expenses[Amount]))</f>
        <v/>
      </c>
      <c r="H52" s="111"/>
      <c r="I52" s="108"/>
      <c r="J52" s="97"/>
      <c r="K52" s="91"/>
      <c r="L52" s="54"/>
      <c r="M52" s="54"/>
      <c r="N52" s="54"/>
      <c r="O52" s="54"/>
      <c r="P52" s="54"/>
      <c r="Q52" s="54"/>
      <c r="R52" s="54"/>
      <c r="S52" s="54"/>
    </row>
    <row r="53" ht="18.0" customHeight="1">
      <c r="A53" s="54"/>
      <c r="B53" s="104"/>
      <c r="C53" s="104"/>
      <c r="D53" s="105" t="s">
        <v>53</v>
      </c>
      <c r="E53" s="106">
        <v>0.0</v>
      </c>
      <c r="F53" s="92">
        <f>if(isblank($D53), "", sumif(Expenses[Sub Category],$D53,Expenses[Amount]))</f>
        <v>56600</v>
      </c>
      <c r="G53" s="101" t="str">
        <f>if(isblank($B53), "", E53- sumif(Expenses[Cost Center],$B53,Expenses[Amount]))</f>
        <v/>
      </c>
      <c r="H53" s="111"/>
      <c r="I53" s="108"/>
      <c r="J53" s="97"/>
      <c r="K53" s="91"/>
      <c r="L53" s="54"/>
      <c r="M53" s="54"/>
      <c r="N53" s="54"/>
      <c r="O53" s="54"/>
      <c r="P53" s="54"/>
      <c r="Q53" s="54"/>
      <c r="R53" s="54"/>
      <c r="S53" s="54"/>
    </row>
    <row r="54" ht="18.0" customHeight="1">
      <c r="A54" s="54"/>
      <c r="B54" s="104"/>
      <c r="C54" s="104"/>
      <c r="D54" s="105" t="s">
        <v>54</v>
      </c>
      <c r="E54" s="106">
        <v>200000.0</v>
      </c>
      <c r="F54" s="92">
        <f>if(isblank($D54), "", sumif(Expenses[Sub Category],$D54,Expenses[Amount]))</f>
        <v>199900</v>
      </c>
      <c r="G54" s="101" t="str">
        <f>if(isblank($B54), "", E54- sumif(Expenses[Cost Center],$B54,Expenses[Amount]))</f>
        <v/>
      </c>
      <c r="H54" s="111"/>
      <c r="I54" s="108"/>
      <c r="J54" s="97"/>
      <c r="K54" s="91"/>
      <c r="L54" s="54"/>
      <c r="M54" s="54"/>
      <c r="N54" s="54"/>
      <c r="O54" s="54"/>
      <c r="P54" s="54"/>
      <c r="Q54" s="54"/>
      <c r="R54" s="54"/>
      <c r="S54" s="54"/>
    </row>
    <row r="55" ht="18.0" customHeight="1">
      <c r="A55" s="54"/>
      <c r="B55" s="96" t="s">
        <v>55</v>
      </c>
      <c r="C55" s="97"/>
      <c r="D55" s="98"/>
      <c r="E55" s="99">
        <v>0.0</v>
      </c>
      <c r="F55" s="100">
        <f>if(isblank($B55), "", sumif(Expenses[Category],$B55,Expenses[Amount]))</f>
        <v>26500</v>
      </c>
      <c r="G55" s="101">
        <f>if(isblank($B55), "", E55- sumif(Expenses[Cost Center],$B55,Expenses[Amount]))</f>
        <v>0</v>
      </c>
      <c r="H55" s="111"/>
      <c r="I55" s="108"/>
      <c r="J55" s="97"/>
      <c r="K55" s="91" t="str">
        <f t="shared" ref="K55:K56" si="1">if(isblank($I55), "", sumif(#REF!,$I55,#REF!))</f>
        <v/>
      </c>
      <c r="L55" s="54"/>
      <c r="M55" s="54"/>
      <c r="N55" s="54"/>
      <c r="O55" s="54"/>
      <c r="P55" s="54"/>
      <c r="Q55" s="54"/>
      <c r="R55" s="54"/>
      <c r="S55" s="54"/>
    </row>
    <row r="56" ht="18.0" customHeight="1">
      <c r="A56" s="54"/>
      <c r="B56" s="96" t="s">
        <v>56</v>
      </c>
      <c r="C56" s="97"/>
      <c r="D56" s="124"/>
      <c r="E56" s="99">
        <v>50000.0</v>
      </c>
      <c r="F56" s="100">
        <f>if(isblank($B56), "", sumif(Expenses[Category],$B56,Expenses[Amount]))</f>
        <v>38000</v>
      </c>
      <c r="G56" s="101">
        <f>if(isblank($B56), "", E56- sumif(Expenses[Cost Center],$B56,Expenses[Amount]))</f>
        <v>12000</v>
      </c>
      <c r="H56" s="111"/>
      <c r="I56" s="108"/>
      <c r="J56" s="97"/>
      <c r="K56" s="91" t="str">
        <f t="shared" si="1"/>
        <v/>
      </c>
      <c r="L56" s="54"/>
      <c r="M56" s="54"/>
      <c r="N56" s="54"/>
      <c r="O56" s="54"/>
      <c r="P56" s="54"/>
      <c r="Q56" s="54"/>
      <c r="R56" s="54"/>
      <c r="S56" s="54"/>
    </row>
    <row r="57" ht="18.0" customHeight="1">
      <c r="A57" s="54"/>
      <c r="B57" s="96" t="s">
        <v>57</v>
      </c>
      <c r="C57" s="97"/>
      <c r="D57" s="124"/>
      <c r="E57" s="99">
        <v>0.0</v>
      </c>
      <c r="F57" s="100">
        <f>if(isblank($B57), "", sumif(Expenses[Category],$B57,Expenses[Amount]))</f>
        <v>0</v>
      </c>
      <c r="G57" s="101">
        <f>if(isblank($B57), "", E57- sumif(Expenses[Cost Center],$B57,Expenses[Amount]))</f>
        <v>0</v>
      </c>
      <c r="H57" s="111"/>
      <c r="I57" s="108"/>
      <c r="J57" s="97"/>
      <c r="K57" s="91"/>
      <c r="L57" s="54"/>
      <c r="M57" s="54"/>
      <c r="N57" s="54"/>
      <c r="O57" s="125"/>
      <c r="P57" s="54"/>
      <c r="Q57" s="54"/>
      <c r="R57" s="54"/>
      <c r="S57" s="54"/>
    </row>
    <row r="58" ht="18.0" customHeight="1">
      <c r="A58" s="54"/>
      <c r="B58" s="104"/>
      <c r="C58" s="104"/>
      <c r="D58" s="126" t="s">
        <v>58</v>
      </c>
      <c r="E58" s="106">
        <v>0.0</v>
      </c>
      <c r="F58" s="92">
        <f>if(isblank($D58), "", sumif(Expenses[Sub Category],$D58,Expenses[Amount]))</f>
        <v>0</v>
      </c>
      <c r="G58" s="101" t="str">
        <f>if(isblank($B58), "", E58- sumif(Expenses[Cost Center],$B58,Expenses[Amount]))</f>
        <v/>
      </c>
      <c r="H58" s="111"/>
      <c r="I58" s="108"/>
      <c r="J58" s="97"/>
      <c r="K58" s="91"/>
      <c r="L58" s="54"/>
      <c r="M58" s="54"/>
      <c r="N58" s="54"/>
      <c r="O58" s="54"/>
      <c r="P58" s="54"/>
      <c r="Q58" s="54"/>
      <c r="R58" s="54"/>
      <c r="S58" s="54"/>
    </row>
    <row r="59" ht="18.0" customHeight="1">
      <c r="A59" s="54"/>
      <c r="B59" s="104"/>
      <c r="C59" s="104"/>
      <c r="D59" s="126" t="s">
        <v>59</v>
      </c>
      <c r="E59" s="106">
        <v>0.0</v>
      </c>
      <c r="F59" s="92">
        <f>if(isblank($D59), "", sumif(Expenses[Sub Category],$D59,Expenses[Amount]))</f>
        <v>0</v>
      </c>
      <c r="G59" s="101" t="str">
        <f>if(isblank($B59), "", E59- sumif(Expenses[Cost Center],$B59,Expenses[Amount]))</f>
        <v/>
      </c>
      <c r="H59" s="111"/>
      <c r="I59" s="108"/>
      <c r="J59" s="97"/>
      <c r="K59" s="91"/>
      <c r="L59" s="54"/>
      <c r="M59" s="54"/>
      <c r="N59" s="54"/>
      <c r="O59" s="54"/>
      <c r="P59" s="54"/>
      <c r="Q59" s="54"/>
      <c r="R59" s="54"/>
      <c r="S59" s="54"/>
    </row>
    <row r="60" ht="18.0" customHeight="1">
      <c r="A60" s="54"/>
      <c r="B60" s="104"/>
      <c r="C60" s="104"/>
      <c r="D60" s="126" t="s">
        <v>60</v>
      </c>
      <c r="E60" s="106">
        <v>0.0</v>
      </c>
      <c r="F60" s="92">
        <f>if(isblank($D60), "", sumif(Expenses[Sub Category],$D60,Expenses[Amount]))</f>
        <v>0</v>
      </c>
      <c r="G60" s="101" t="str">
        <f>if(isblank($B60), "", E60- sumif(Expenses[Cost Center],$B60,Expenses[Amount]))</f>
        <v/>
      </c>
      <c r="H60" s="111"/>
      <c r="I60" s="108"/>
      <c r="J60" s="97"/>
      <c r="K60" s="91"/>
      <c r="L60" s="54"/>
      <c r="M60" s="54"/>
      <c r="N60" s="54"/>
      <c r="O60" s="54"/>
      <c r="P60" s="54"/>
      <c r="Q60" s="54"/>
      <c r="R60" s="54"/>
      <c r="S60" s="54"/>
    </row>
    <row r="61" ht="18.0" customHeight="1">
      <c r="A61" s="54"/>
      <c r="B61" s="96" t="s">
        <v>16</v>
      </c>
      <c r="C61" s="97"/>
      <c r="D61" s="124"/>
      <c r="E61" s="99">
        <v>1800000.0</v>
      </c>
      <c r="F61" s="92">
        <f>if(isblank($B61), "", sumif(Expenses[Category],$B61,Expenses[Amount]))</f>
        <v>1800000</v>
      </c>
      <c r="G61" s="101">
        <f>if(isblank($B61), "", E61- sumif(Expenses[Cost Center],$B61,Expenses[Amount]))</f>
        <v>-500000</v>
      </c>
      <c r="H61" s="111"/>
      <c r="I61" s="127"/>
      <c r="J61" s="127"/>
      <c r="K61" s="91"/>
      <c r="L61" s="54"/>
      <c r="M61" s="54"/>
      <c r="N61" s="54"/>
      <c r="O61" s="54"/>
      <c r="P61" s="54"/>
      <c r="Q61" s="54"/>
      <c r="R61" s="54"/>
      <c r="S61" s="54"/>
    </row>
    <row r="62" ht="18.0" customHeight="1">
      <c r="A62" s="54"/>
      <c r="B62" s="96" t="s">
        <v>61</v>
      </c>
      <c r="C62" s="97"/>
      <c r="D62" s="124"/>
      <c r="E62" s="99">
        <v>0.0</v>
      </c>
      <c r="F62" s="100">
        <f>if(isblank($B62), "", sumif(Expenses[Category],$B62,Expenses[Amount]))</f>
        <v>0</v>
      </c>
      <c r="G62" s="101">
        <f>if(isblank($B62), "", E62- sumif(Expenses[Cost Center],$B62,Expenses[Amount]))</f>
        <v>0</v>
      </c>
      <c r="H62" s="111"/>
      <c r="I62" s="108"/>
      <c r="J62" s="97"/>
      <c r="K62" s="91" t="str">
        <f>if(isblank($I62), "", sumif(#REF!,$I62,#REF!))</f>
        <v/>
      </c>
      <c r="L62" s="54"/>
      <c r="M62" s="54"/>
      <c r="N62" s="54"/>
      <c r="O62" s="54"/>
      <c r="P62" s="54"/>
      <c r="Q62" s="54"/>
      <c r="R62" s="54"/>
      <c r="S62" s="54"/>
    </row>
    <row r="63" ht="18.0" customHeight="1">
      <c r="A63" s="54"/>
      <c r="B63" s="128"/>
      <c r="C63" s="97"/>
      <c r="D63" s="126" t="s">
        <v>62</v>
      </c>
      <c r="E63" s="106">
        <v>0.0</v>
      </c>
      <c r="F63" s="92">
        <f>if(isblank($D63), "", sumif(Expenses[Sub Category],$D63,Expenses[Amount]))</f>
        <v>0</v>
      </c>
      <c r="G63" s="101" t="str">
        <f>if(isblank($B63), "", E63- sumif(Expenses[Cost Center],$B63,Expenses[Amount]))</f>
        <v/>
      </c>
      <c r="H63" s="111"/>
      <c r="I63" s="127"/>
      <c r="J63" s="127"/>
      <c r="K63" s="91"/>
      <c r="L63" s="54"/>
      <c r="M63" s="54"/>
      <c r="N63" s="54"/>
      <c r="O63" s="54"/>
      <c r="P63" s="54"/>
      <c r="Q63" s="54"/>
      <c r="R63" s="54"/>
      <c r="S63" s="54"/>
    </row>
    <row r="64" ht="18.0" customHeight="1">
      <c r="A64" s="54"/>
      <c r="B64" s="104"/>
      <c r="C64" s="104"/>
      <c r="D64" s="126" t="s">
        <v>63</v>
      </c>
      <c r="E64" s="106">
        <v>0.0</v>
      </c>
      <c r="F64" s="92">
        <f>if(isblank($D64), "", sumif(Expenses[Sub Category],$D64,Expenses[Amount]))</f>
        <v>0</v>
      </c>
      <c r="G64" s="101" t="str">
        <f>if(isblank($B64), "", E64- sumif(Expenses[Cost Center],$B64,Expenses[Amount]))</f>
        <v/>
      </c>
      <c r="H64" s="111"/>
      <c r="I64" s="127"/>
      <c r="J64" s="127"/>
      <c r="K64" s="91"/>
      <c r="L64" s="54"/>
      <c r="M64" s="54"/>
      <c r="N64" s="54"/>
      <c r="O64" s="54"/>
      <c r="P64" s="54"/>
      <c r="Q64" s="54"/>
      <c r="R64" s="54"/>
      <c r="S64" s="54"/>
    </row>
    <row r="65" ht="18.0" customHeight="1">
      <c r="A65" s="54"/>
      <c r="B65" s="96" t="s">
        <v>31</v>
      </c>
      <c r="C65" s="97"/>
      <c r="D65" s="124"/>
      <c r="E65" s="106">
        <v>0.0</v>
      </c>
      <c r="F65" s="100">
        <f>if(isblank($B65), "", sumif(Expenses[Category],$B65,Expenses[Amount]))</f>
        <v>0</v>
      </c>
      <c r="G65" s="101">
        <f>if(isblank($B65), "", E65- sumif(Expenses[Cost Center],$B65,Expenses[Amount]))</f>
        <v>0</v>
      </c>
      <c r="H65" s="111"/>
      <c r="I65" s="108"/>
      <c r="J65" s="97"/>
      <c r="K65" s="91" t="str">
        <f>if(isblank($I65), "", sumif(#REF!,$I65,#REF!))</f>
        <v/>
      </c>
      <c r="L65" s="54"/>
      <c r="M65" s="54"/>
      <c r="N65" s="54"/>
      <c r="O65" s="54"/>
      <c r="P65" s="54"/>
      <c r="Q65" s="54"/>
      <c r="R65" s="54"/>
      <c r="S65" s="54"/>
    </row>
    <row r="66" ht="18.0" customHeight="1">
      <c r="A66" s="54"/>
      <c r="B66" s="128"/>
      <c r="C66" s="97"/>
      <c r="D66" s="129"/>
      <c r="E66" s="130"/>
      <c r="F66" s="100"/>
      <c r="G66" s="131"/>
      <c r="H66" s="111"/>
      <c r="I66" s="132"/>
      <c r="J66" s="132"/>
      <c r="K66" s="91"/>
      <c r="L66" s="54"/>
      <c r="M66" s="54"/>
      <c r="N66" s="54"/>
      <c r="O66" s="54"/>
      <c r="P66" s="54"/>
      <c r="Q66" s="54"/>
      <c r="R66" s="54"/>
      <c r="S66" s="54"/>
    </row>
  </sheetData>
  <mergeCells count="86">
    <mergeCell ref="I37:J37"/>
    <mergeCell ref="I40:J40"/>
    <mergeCell ref="I41:J41"/>
    <mergeCell ref="I42:J42"/>
    <mergeCell ref="I43:J43"/>
    <mergeCell ref="I44:J44"/>
    <mergeCell ref="I31:J31"/>
    <mergeCell ref="I32:J32"/>
    <mergeCell ref="I33:J33"/>
    <mergeCell ref="I34:J34"/>
    <mergeCell ref="B35:C35"/>
    <mergeCell ref="B39:C39"/>
    <mergeCell ref="B40:C40"/>
    <mergeCell ref="B50:C50"/>
    <mergeCell ref="I50:J50"/>
    <mergeCell ref="B55:C55"/>
    <mergeCell ref="I55:J55"/>
    <mergeCell ref="B56:C56"/>
    <mergeCell ref="I56:J56"/>
    <mergeCell ref="B57:C57"/>
    <mergeCell ref="I57:J57"/>
    <mergeCell ref="B45:C45"/>
    <mergeCell ref="I45:J45"/>
    <mergeCell ref="B46:C46"/>
    <mergeCell ref="I46:J46"/>
    <mergeCell ref="B47:C47"/>
    <mergeCell ref="B48:C48"/>
    <mergeCell ref="B49:C49"/>
    <mergeCell ref="I48:J48"/>
    <mergeCell ref="I49:J49"/>
    <mergeCell ref="I51:J51"/>
    <mergeCell ref="I52:J52"/>
    <mergeCell ref="I53:J53"/>
    <mergeCell ref="I54:J54"/>
    <mergeCell ref="I58:J58"/>
    <mergeCell ref="B65:C65"/>
    <mergeCell ref="B66:C66"/>
    <mergeCell ref="I59:J59"/>
    <mergeCell ref="I60:J60"/>
    <mergeCell ref="B61:C61"/>
    <mergeCell ref="B62:C62"/>
    <mergeCell ref="I62:J62"/>
    <mergeCell ref="B63:C63"/>
    <mergeCell ref="I65:J65"/>
    <mergeCell ref="B2:I2"/>
    <mergeCell ref="J2:K2"/>
    <mergeCell ref="B3:H4"/>
    <mergeCell ref="J3:K3"/>
    <mergeCell ref="J4:L5"/>
    <mergeCell ref="B5:H6"/>
    <mergeCell ref="B8:F9"/>
    <mergeCell ref="E12:E15"/>
    <mergeCell ref="F12:F15"/>
    <mergeCell ref="J13:K13"/>
    <mergeCell ref="J14:K14"/>
    <mergeCell ref="J15:K15"/>
    <mergeCell ref="J16:K16"/>
    <mergeCell ref="J17:K17"/>
    <mergeCell ref="B28:C28"/>
    <mergeCell ref="I28:J28"/>
    <mergeCell ref="M28:N28"/>
    <mergeCell ref="B20:G20"/>
    <mergeCell ref="E21:G21"/>
    <mergeCell ref="E22:G22"/>
    <mergeCell ref="E23:G23"/>
    <mergeCell ref="B24:C24"/>
    <mergeCell ref="Q24:R24"/>
    <mergeCell ref="B27:C27"/>
    <mergeCell ref="I27:J27"/>
    <mergeCell ref="M27:N27"/>
    <mergeCell ref="I29:J29"/>
    <mergeCell ref="M29:N29"/>
    <mergeCell ref="I30:J30"/>
    <mergeCell ref="M30:N30"/>
    <mergeCell ref="M31:N31"/>
    <mergeCell ref="I38:J38"/>
    <mergeCell ref="I39:J39"/>
    <mergeCell ref="M42:N42"/>
    <mergeCell ref="M43:N43"/>
    <mergeCell ref="M32:N32"/>
    <mergeCell ref="M33:N33"/>
    <mergeCell ref="M37:N37"/>
    <mergeCell ref="M38:N38"/>
    <mergeCell ref="M39:N39"/>
    <mergeCell ref="M40:N40"/>
    <mergeCell ref="M41:N41"/>
  </mergeCells>
  <conditionalFormatting sqref="B27:C66 I27:J66 M27:M44 N27:N45">
    <cfRule type="notContainsBlanks" dxfId="0" priority="1">
      <formula>LEN(TRIM(B27))&gt;0</formula>
    </cfRule>
  </conditionalFormatting>
  <conditionalFormatting sqref="D27:D66">
    <cfRule type="notContainsBlanks" dxfId="1" priority="2">
      <formula>LEN(TRIM(D27))&gt;0</formula>
    </cfRule>
  </conditionalFormatting>
  <conditionalFormatting sqref="G26:G66">
    <cfRule type="cellIs" dxfId="2" priority="3" operator="lessThan">
      <formula>0</formula>
    </cfRule>
  </conditionalFormatting>
  <conditionalFormatting sqref="G27:G66">
    <cfRule type="cellIs" dxfId="3" priority="4" operator="equal">
      <formula>0</formula>
    </cfRule>
  </conditionalFormatting>
  <conditionalFormatting sqref="E28:E66">
    <cfRule type="expression" dxfId="1" priority="5">
      <formula>not(isblank(B27))</formula>
    </cfRule>
  </conditionalFormatting>
  <conditionalFormatting sqref="J21">
    <cfRule type="notContainsBlanks" dxfId="1" priority="6">
      <formula>LEN(TRIM(J21))&gt;0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4.5"/>
    <col customWidth="1" min="3" max="3" width="19.88"/>
    <col customWidth="1" min="4" max="4" width="20.88"/>
    <col customWidth="1" min="5" max="7" width="20.5"/>
    <col customWidth="1" min="8" max="8" width="20.88"/>
    <col customWidth="1" min="9" max="9" width="5.13"/>
    <col customWidth="1" min="10" max="21" width="16.88"/>
  </cols>
  <sheetData>
    <row r="1" ht="33.0" customHeight="1">
      <c r="A1" s="133">
        <v>5.0</v>
      </c>
      <c r="B1" s="134" t="s">
        <v>64</v>
      </c>
      <c r="N1" s="135"/>
      <c r="O1" s="135"/>
      <c r="P1" s="135"/>
      <c r="Q1" s="135"/>
      <c r="R1" s="135"/>
      <c r="S1" s="135"/>
      <c r="T1" s="135"/>
      <c r="U1" s="135"/>
    </row>
    <row r="2" ht="48.0" customHeight="1">
      <c r="A2" s="136"/>
      <c r="B2" s="137" t="s">
        <v>7</v>
      </c>
      <c r="C2" s="138"/>
      <c r="D2" s="136"/>
      <c r="E2" s="136"/>
      <c r="F2" s="136"/>
      <c r="G2" s="136"/>
      <c r="H2" s="136"/>
      <c r="I2" s="136"/>
      <c r="J2" s="137" t="s">
        <v>8</v>
      </c>
      <c r="K2" s="138"/>
      <c r="L2" s="136"/>
      <c r="M2" s="136"/>
      <c r="N2" s="136"/>
      <c r="O2" s="136"/>
      <c r="P2" s="137" t="s">
        <v>65</v>
      </c>
      <c r="Q2" s="138"/>
      <c r="R2" s="136"/>
      <c r="S2" s="136"/>
      <c r="T2" s="136"/>
      <c r="U2" s="136"/>
    </row>
    <row r="3" ht="12.0" customHeight="1">
      <c r="A3" s="136"/>
      <c r="B3" s="136"/>
      <c r="C3" s="138"/>
      <c r="D3" s="136"/>
      <c r="E3" s="136"/>
      <c r="F3" s="136"/>
      <c r="G3" s="136"/>
      <c r="H3" s="136"/>
      <c r="I3" s="136"/>
      <c r="J3" s="136"/>
      <c r="K3" s="138"/>
      <c r="L3" s="136"/>
      <c r="M3" s="136"/>
      <c r="N3" s="136"/>
      <c r="O3" s="136"/>
      <c r="P3" s="136"/>
      <c r="Q3" s="138"/>
      <c r="R3" s="136"/>
      <c r="S3" s="136"/>
      <c r="T3" s="136"/>
      <c r="U3" s="136"/>
    </row>
    <row r="4" ht="24.0" customHeight="1">
      <c r="A4" s="139"/>
      <c r="B4" s="140" t="s">
        <v>66</v>
      </c>
      <c r="C4" s="141" t="s">
        <v>67</v>
      </c>
      <c r="D4" s="140" t="s">
        <v>68</v>
      </c>
      <c r="E4" s="140" t="s">
        <v>69</v>
      </c>
      <c r="F4" s="142" t="s">
        <v>70</v>
      </c>
      <c r="G4" s="143" t="s">
        <v>71</v>
      </c>
      <c r="H4" s="142" t="s">
        <v>11</v>
      </c>
      <c r="I4" s="139"/>
      <c r="J4" s="142" t="s">
        <v>66</v>
      </c>
      <c r="K4" s="141" t="s">
        <v>67</v>
      </c>
      <c r="L4" s="142" t="s">
        <v>68</v>
      </c>
      <c r="M4" s="142" t="s">
        <v>69</v>
      </c>
      <c r="N4" s="142" t="s">
        <v>11</v>
      </c>
      <c r="O4" s="144"/>
      <c r="P4" s="142" t="s">
        <v>66</v>
      </c>
      <c r="Q4" s="141" t="s">
        <v>67</v>
      </c>
      <c r="R4" s="142" t="s">
        <v>68</v>
      </c>
      <c r="S4" s="142" t="s">
        <v>72</v>
      </c>
      <c r="T4" s="142" t="s">
        <v>73</v>
      </c>
      <c r="U4" s="144"/>
    </row>
    <row r="5" ht="19.5" customHeight="1">
      <c r="A5" s="139"/>
      <c r="B5" s="145">
        <v>46290.0</v>
      </c>
      <c r="C5" s="146">
        <v>119000.0</v>
      </c>
      <c r="D5" s="147" t="s">
        <v>74</v>
      </c>
      <c r="E5" s="148" t="s">
        <v>40</v>
      </c>
      <c r="F5" s="148" t="s">
        <v>41</v>
      </c>
      <c r="G5" s="149" t="s">
        <v>35</v>
      </c>
      <c r="H5" s="150" t="s">
        <v>26</v>
      </c>
      <c r="I5" s="139"/>
      <c r="J5" s="145">
        <v>46290.0</v>
      </c>
      <c r="K5" s="146">
        <v>136032.0</v>
      </c>
      <c r="L5" s="151" t="s">
        <v>75</v>
      </c>
      <c r="M5" s="148" t="s">
        <v>31</v>
      </c>
      <c r="N5" s="150" t="s">
        <v>17</v>
      </c>
      <c r="O5" s="144"/>
      <c r="P5" s="145">
        <v>46290.0</v>
      </c>
      <c r="Q5" s="146">
        <v>9382212.0</v>
      </c>
      <c r="R5" s="152"/>
      <c r="S5" s="148" t="s">
        <v>20</v>
      </c>
      <c r="T5" s="150" t="s">
        <v>26</v>
      </c>
      <c r="U5" s="144"/>
    </row>
    <row r="6" ht="19.5" customHeight="1">
      <c r="A6" s="139"/>
      <c r="B6" s="153"/>
      <c r="C6" s="154">
        <v>700032.0</v>
      </c>
      <c r="D6" s="155" t="s">
        <v>76</v>
      </c>
      <c r="E6" s="156" t="s">
        <v>49</v>
      </c>
      <c r="F6" s="157"/>
      <c r="G6" s="156" t="s">
        <v>49</v>
      </c>
      <c r="H6" s="158" t="s">
        <v>26</v>
      </c>
      <c r="I6" s="139"/>
      <c r="J6" s="159"/>
      <c r="K6" s="154">
        <v>95504.0</v>
      </c>
      <c r="L6" s="151" t="s">
        <v>75</v>
      </c>
      <c r="M6" s="148" t="s">
        <v>31</v>
      </c>
      <c r="N6" s="160" t="s">
        <v>20</v>
      </c>
      <c r="O6" s="139"/>
      <c r="P6" s="161"/>
      <c r="Q6" s="162">
        <v>4800000.0</v>
      </c>
      <c r="R6" s="163" t="s">
        <v>77</v>
      </c>
      <c r="S6" s="164" t="s">
        <v>26</v>
      </c>
      <c r="T6" s="165" t="s">
        <v>17</v>
      </c>
      <c r="U6" s="139"/>
    </row>
    <row r="7" ht="19.5" customHeight="1">
      <c r="A7" s="139"/>
      <c r="B7" s="153"/>
      <c r="C7" s="154">
        <v>15000.0</v>
      </c>
      <c r="D7" s="155" t="s">
        <v>78</v>
      </c>
      <c r="E7" s="156" t="s">
        <v>15</v>
      </c>
      <c r="F7" s="156" t="s">
        <v>18</v>
      </c>
      <c r="G7" s="156" t="s">
        <v>15</v>
      </c>
      <c r="H7" s="158" t="s">
        <v>26</v>
      </c>
      <c r="I7" s="139"/>
      <c r="J7" s="159"/>
      <c r="K7" s="166">
        <v>9391708.0</v>
      </c>
      <c r="L7" s="167" t="s">
        <v>79</v>
      </c>
      <c r="M7" s="156" t="s">
        <v>19</v>
      </c>
      <c r="N7" s="160" t="s">
        <v>20</v>
      </c>
      <c r="O7" s="139"/>
      <c r="P7" s="159"/>
      <c r="Q7" s="168">
        <v>1681000.0</v>
      </c>
      <c r="R7" s="169"/>
      <c r="S7" s="170" t="s">
        <v>26</v>
      </c>
      <c r="T7" s="171" t="s">
        <v>23</v>
      </c>
      <c r="U7" s="139"/>
    </row>
    <row r="8" ht="19.5" customHeight="1">
      <c r="A8" s="139"/>
      <c r="B8" s="159"/>
      <c r="C8" s="154">
        <v>1800000.0</v>
      </c>
      <c r="D8" s="155" t="s">
        <v>80</v>
      </c>
      <c r="E8" s="156" t="s">
        <v>16</v>
      </c>
      <c r="F8" s="156"/>
      <c r="G8" s="156" t="s">
        <v>16</v>
      </c>
      <c r="H8" s="160" t="s">
        <v>26</v>
      </c>
      <c r="I8" s="139"/>
      <c r="J8" s="159"/>
      <c r="K8" s="154">
        <v>1800000.0</v>
      </c>
      <c r="L8" s="167" t="s">
        <v>16</v>
      </c>
      <c r="M8" s="156" t="s">
        <v>16</v>
      </c>
      <c r="N8" s="160" t="s">
        <v>32</v>
      </c>
      <c r="O8" s="139"/>
      <c r="P8" s="172">
        <v>46292.0</v>
      </c>
      <c r="Q8" s="173">
        <v>50000.0</v>
      </c>
      <c r="R8" s="169"/>
      <c r="S8" s="170" t="s">
        <v>23</v>
      </c>
      <c r="T8" s="171" t="s">
        <v>26</v>
      </c>
      <c r="U8" s="139"/>
    </row>
    <row r="9" ht="19.5" customHeight="1">
      <c r="A9" s="139"/>
      <c r="B9" s="159"/>
      <c r="C9" s="154">
        <v>5000.0</v>
      </c>
      <c r="D9" s="155" t="s">
        <v>81</v>
      </c>
      <c r="E9" s="156" t="s">
        <v>55</v>
      </c>
      <c r="F9" s="156"/>
      <c r="G9" s="156" t="s">
        <v>15</v>
      </c>
      <c r="H9" s="160" t="s">
        <v>20</v>
      </c>
      <c r="I9" s="139"/>
      <c r="J9" s="174">
        <v>46297.0</v>
      </c>
      <c r="K9" s="154">
        <v>18000.0</v>
      </c>
      <c r="L9" s="167" t="s">
        <v>82</v>
      </c>
      <c r="M9" s="156" t="s">
        <v>28</v>
      </c>
      <c r="N9" s="160" t="s">
        <v>20</v>
      </c>
      <c r="O9" s="139"/>
      <c r="P9" s="172"/>
      <c r="Q9" s="173">
        <v>800000.0</v>
      </c>
      <c r="R9" s="169"/>
      <c r="S9" s="170" t="s">
        <v>17</v>
      </c>
      <c r="T9" s="171" t="s">
        <v>29</v>
      </c>
      <c r="U9" s="139"/>
    </row>
    <row r="10" ht="19.5" customHeight="1">
      <c r="A10" s="139"/>
      <c r="B10" s="159"/>
      <c r="C10" s="154">
        <v>20000.0</v>
      </c>
      <c r="D10" s="155"/>
      <c r="E10" s="156" t="s">
        <v>35</v>
      </c>
      <c r="F10" s="156" t="s">
        <v>37</v>
      </c>
      <c r="G10" s="156" t="s">
        <v>35</v>
      </c>
      <c r="H10" s="160" t="s">
        <v>26</v>
      </c>
      <c r="I10" s="139"/>
      <c r="J10" s="174">
        <v>46303.0</v>
      </c>
      <c r="K10" s="154">
        <v>30000.0</v>
      </c>
      <c r="L10" s="167" t="s">
        <v>82</v>
      </c>
      <c r="M10" s="156" t="s">
        <v>28</v>
      </c>
      <c r="N10" s="160" t="s">
        <v>23</v>
      </c>
      <c r="O10" s="139"/>
      <c r="P10" s="172">
        <v>46293.0</v>
      </c>
      <c r="Q10" s="173">
        <v>400000.0</v>
      </c>
      <c r="R10" s="169"/>
      <c r="S10" s="170" t="s">
        <v>23</v>
      </c>
      <c r="T10" s="171" t="s">
        <v>17</v>
      </c>
      <c r="U10" s="139"/>
    </row>
    <row r="11" ht="19.5" customHeight="1">
      <c r="A11" s="139"/>
      <c r="B11" s="174">
        <v>46291.0</v>
      </c>
      <c r="C11" s="154">
        <v>250000.0</v>
      </c>
      <c r="D11" s="155" t="s">
        <v>83</v>
      </c>
      <c r="E11" s="156" t="s">
        <v>35</v>
      </c>
      <c r="F11" s="156" t="s">
        <v>36</v>
      </c>
      <c r="G11" s="156" t="s">
        <v>35</v>
      </c>
      <c r="H11" s="160" t="s">
        <v>17</v>
      </c>
      <c r="I11" s="139"/>
      <c r="J11" s="175"/>
      <c r="K11" s="176">
        <f>SUM(Income[Amount])</f>
        <v>11471244</v>
      </c>
      <c r="L11" s="175"/>
      <c r="M11" s="175"/>
      <c r="N11" s="175"/>
      <c r="O11" s="139"/>
      <c r="P11" s="172">
        <v>46294.0</v>
      </c>
      <c r="Q11" s="173">
        <v>220000.0</v>
      </c>
      <c r="R11" s="169"/>
      <c r="S11" s="170" t="s">
        <v>23</v>
      </c>
      <c r="T11" s="171" t="s">
        <v>17</v>
      </c>
      <c r="U11" s="139"/>
    </row>
    <row r="12" ht="19.5" customHeight="1">
      <c r="A12" s="139"/>
      <c r="B12" s="174"/>
      <c r="C12" s="154">
        <v>150000.0</v>
      </c>
      <c r="D12" s="155"/>
      <c r="E12" s="156" t="s">
        <v>35</v>
      </c>
      <c r="F12" s="156" t="s">
        <v>36</v>
      </c>
      <c r="G12" s="156" t="s">
        <v>35</v>
      </c>
      <c r="H12" s="160" t="s">
        <v>17</v>
      </c>
      <c r="I12" s="139"/>
      <c r="J12" s="177"/>
      <c r="K12" s="178"/>
      <c r="L12" s="177"/>
      <c r="M12" s="177"/>
      <c r="N12" s="177"/>
      <c r="O12" s="139"/>
      <c r="P12" s="172">
        <v>46295.0</v>
      </c>
      <c r="Q12" s="173">
        <v>200000.0</v>
      </c>
      <c r="R12" s="169"/>
      <c r="S12" s="170" t="s">
        <v>23</v>
      </c>
      <c r="T12" s="171" t="s">
        <v>26</v>
      </c>
      <c r="U12" s="139"/>
    </row>
    <row r="13" ht="19.5" customHeight="1">
      <c r="A13" s="139"/>
      <c r="B13" s="174"/>
      <c r="C13" s="154">
        <v>150000.0</v>
      </c>
      <c r="D13" s="155" t="s">
        <v>84</v>
      </c>
      <c r="E13" s="156" t="s">
        <v>35</v>
      </c>
      <c r="F13" s="156" t="s">
        <v>38</v>
      </c>
      <c r="G13" s="156" t="s">
        <v>35</v>
      </c>
      <c r="H13" s="160" t="s">
        <v>17</v>
      </c>
      <c r="I13" s="139"/>
      <c r="J13" s="179"/>
      <c r="K13" s="180"/>
      <c r="L13" s="139"/>
      <c r="M13" s="139"/>
      <c r="N13" s="139"/>
      <c r="O13" s="139"/>
      <c r="P13" s="172">
        <v>46296.0</v>
      </c>
      <c r="Q13" s="173">
        <v>800000.0</v>
      </c>
      <c r="R13" s="169"/>
      <c r="S13" s="170" t="s">
        <v>23</v>
      </c>
      <c r="T13" s="171" t="s">
        <v>26</v>
      </c>
      <c r="U13" s="139"/>
    </row>
    <row r="14" ht="19.5" customHeight="1">
      <c r="A14" s="139"/>
      <c r="B14" s="174"/>
      <c r="C14" s="154">
        <v>108000.0</v>
      </c>
      <c r="D14" s="155"/>
      <c r="E14" s="156" t="s">
        <v>15</v>
      </c>
      <c r="F14" s="156" t="s">
        <v>24</v>
      </c>
      <c r="G14" s="156" t="s">
        <v>15</v>
      </c>
      <c r="H14" s="160" t="s">
        <v>17</v>
      </c>
      <c r="I14" s="139"/>
      <c r="J14" s="179"/>
      <c r="K14" s="180"/>
      <c r="L14" s="139"/>
      <c r="M14" s="139"/>
      <c r="N14" s="139"/>
      <c r="O14" s="139"/>
      <c r="P14" s="172">
        <v>46300.0</v>
      </c>
      <c r="Q14" s="173">
        <v>11000.0</v>
      </c>
      <c r="R14" s="169"/>
      <c r="S14" s="170" t="s">
        <v>23</v>
      </c>
      <c r="T14" s="171" t="s">
        <v>17</v>
      </c>
      <c r="U14" s="139"/>
    </row>
    <row r="15" ht="19.5" customHeight="1">
      <c r="A15" s="139"/>
      <c r="B15" s="174"/>
      <c r="C15" s="154">
        <v>15300.0</v>
      </c>
      <c r="D15" s="155" t="s">
        <v>85</v>
      </c>
      <c r="E15" s="156" t="s">
        <v>40</v>
      </c>
      <c r="F15" s="156" t="s">
        <v>42</v>
      </c>
      <c r="G15" s="156" t="s">
        <v>35</v>
      </c>
      <c r="H15" s="160" t="s">
        <v>26</v>
      </c>
      <c r="I15" s="139"/>
      <c r="J15" s="179"/>
      <c r="K15" s="180"/>
      <c r="L15" s="139"/>
      <c r="M15" s="139"/>
      <c r="N15" s="139"/>
      <c r="O15" s="139"/>
      <c r="P15" s="172">
        <v>46304.0</v>
      </c>
      <c r="Q15" s="173">
        <v>500000.0</v>
      </c>
      <c r="R15" s="169"/>
      <c r="S15" s="170" t="s">
        <v>32</v>
      </c>
      <c r="T15" s="171" t="s">
        <v>17</v>
      </c>
      <c r="U15" s="139"/>
    </row>
    <row r="16" ht="19.5" customHeight="1">
      <c r="A16" s="139"/>
      <c r="B16" s="174"/>
      <c r="C16" s="154">
        <v>40000.0</v>
      </c>
      <c r="D16" s="155" t="s">
        <v>86</v>
      </c>
      <c r="E16" s="156" t="s">
        <v>15</v>
      </c>
      <c r="F16" s="156" t="s">
        <v>24</v>
      </c>
      <c r="G16" s="156" t="s">
        <v>15</v>
      </c>
      <c r="H16" s="160" t="s">
        <v>26</v>
      </c>
      <c r="I16" s="139"/>
      <c r="J16" s="179"/>
      <c r="K16" s="180"/>
      <c r="L16" s="139"/>
      <c r="M16" s="139"/>
      <c r="N16" s="139"/>
      <c r="O16" s="139"/>
      <c r="P16" s="179"/>
      <c r="Q16" s="180"/>
      <c r="R16" s="139"/>
      <c r="S16" s="139"/>
      <c r="T16" s="139"/>
      <c r="U16" s="139"/>
    </row>
    <row r="17" ht="19.5" customHeight="1">
      <c r="A17" s="139"/>
      <c r="B17" s="174"/>
      <c r="C17" s="154">
        <v>11500.0</v>
      </c>
      <c r="D17" s="155" t="s">
        <v>87</v>
      </c>
      <c r="E17" s="156" t="s">
        <v>40</v>
      </c>
      <c r="F17" s="156" t="s">
        <v>42</v>
      </c>
      <c r="G17" s="156" t="s">
        <v>35</v>
      </c>
      <c r="H17" s="160" t="s">
        <v>26</v>
      </c>
      <c r="I17" s="139"/>
      <c r="J17" s="179"/>
      <c r="K17" s="180"/>
      <c r="L17" s="139"/>
      <c r="M17" s="139"/>
      <c r="N17" s="139"/>
      <c r="O17" s="139"/>
      <c r="P17" s="179"/>
      <c r="Q17" s="180"/>
      <c r="R17" s="139"/>
      <c r="S17" s="139"/>
      <c r="T17" s="139"/>
      <c r="U17" s="139"/>
    </row>
    <row r="18" ht="19.5" customHeight="1">
      <c r="A18" s="139"/>
      <c r="B18" s="174"/>
      <c r="C18" s="154">
        <v>15000.0</v>
      </c>
      <c r="D18" s="155" t="s">
        <v>88</v>
      </c>
      <c r="E18" s="156" t="s">
        <v>40</v>
      </c>
      <c r="F18" s="156" t="s">
        <v>42</v>
      </c>
      <c r="G18" s="156" t="s">
        <v>39</v>
      </c>
      <c r="H18" s="160" t="s">
        <v>26</v>
      </c>
      <c r="I18" s="139"/>
      <c r="J18" s="179"/>
      <c r="K18" s="180"/>
      <c r="L18" s="139"/>
      <c r="M18" s="139"/>
      <c r="N18" s="139"/>
      <c r="O18" s="139"/>
      <c r="P18" s="179"/>
      <c r="Q18" s="180"/>
      <c r="R18" s="139"/>
      <c r="S18" s="139"/>
      <c r="T18" s="139"/>
      <c r="U18" s="139"/>
    </row>
    <row r="19" ht="19.5" customHeight="1">
      <c r="A19" s="139"/>
      <c r="B19" s="174"/>
      <c r="C19" s="154">
        <v>125000.0</v>
      </c>
      <c r="D19" s="155" t="s">
        <v>89</v>
      </c>
      <c r="E19" s="156" t="s">
        <v>40</v>
      </c>
      <c r="F19" s="156" t="s">
        <v>41</v>
      </c>
      <c r="G19" s="156" t="s">
        <v>35</v>
      </c>
      <c r="H19" s="160" t="s">
        <v>26</v>
      </c>
      <c r="I19" s="139"/>
      <c r="J19" s="179"/>
      <c r="K19" s="180"/>
      <c r="L19" s="139"/>
      <c r="M19" s="139"/>
      <c r="N19" s="139"/>
      <c r="O19" s="139"/>
      <c r="P19" s="179"/>
      <c r="Q19" s="180"/>
      <c r="R19" s="139"/>
      <c r="S19" s="139"/>
      <c r="T19" s="139"/>
      <c r="U19" s="139"/>
    </row>
    <row r="20" ht="19.5" customHeight="1">
      <c r="A20" s="139"/>
      <c r="B20" s="174">
        <v>46292.0</v>
      </c>
      <c r="C20" s="154">
        <v>28500.0</v>
      </c>
      <c r="D20" s="155" t="s">
        <v>90</v>
      </c>
      <c r="E20" s="156" t="s">
        <v>15</v>
      </c>
      <c r="F20" s="156" t="s">
        <v>24</v>
      </c>
      <c r="G20" s="156" t="s">
        <v>15</v>
      </c>
      <c r="H20" s="160" t="s">
        <v>17</v>
      </c>
      <c r="I20" s="139"/>
      <c r="J20" s="179"/>
      <c r="K20" s="180"/>
      <c r="L20" s="139"/>
      <c r="M20" s="139"/>
      <c r="N20" s="139"/>
      <c r="O20" s="139"/>
      <c r="P20" s="179"/>
      <c r="Q20" s="180"/>
      <c r="R20" s="139"/>
      <c r="S20" s="139"/>
      <c r="T20" s="139"/>
      <c r="U20" s="139"/>
    </row>
    <row r="21" ht="19.5" customHeight="1">
      <c r="A21" s="139"/>
      <c r="B21" s="174"/>
      <c r="C21" s="154">
        <v>75000.0</v>
      </c>
      <c r="D21" s="155" t="s">
        <v>91</v>
      </c>
      <c r="E21" s="156" t="s">
        <v>45</v>
      </c>
      <c r="F21" s="156"/>
      <c r="G21" s="156" t="s">
        <v>15</v>
      </c>
      <c r="H21" s="160" t="s">
        <v>17</v>
      </c>
      <c r="I21" s="139"/>
      <c r="J21" s="179"/>
      <c r="K21" s="180"/>
      <c r="L21" s="139"/>
      <c r="M21" s="139"/>
      <c r="N21" s="139"/>
      <c r="O21" s="139"/>
      <c r="P21" s="179"/>
      <c r="Q21" s="180"/>
      <c r="R21" s="139"/>
      <c r="S21" s="139"/>
      <c r="T21" s="139"/>
      <c r="U21" s="139"/>
    </row>
    <row r="22" ht="19.5" customHeight="1">
      <c r="A22" s="139"/>
      <c r="B22" s="174"/>
      <c r="C22" s="154">
        <v>10000.0</v>
      </c>
      <c r="D22" s="155" t="s">
        <v>78</v>
      </c>
      <c r="E22" s="156" t="s">
        <v>15</v>
      </c>
      <c r="F22" s="156" t="s">
        <v>18</v>
      </c>
      <c r="G22" s="156" t="s">
        <v>15</v>
      </c>
      <c r="H22" s="160" t="s">
        <v>17</v>
      </c>
      <c r="I22" s="139"/>
      <c r="J22" s="179"/>
      <c r="K22" s="180"/>
      <c r="L22" s="139"/>
      <c r="M22" s="139"/>
      <c r="N22" s="139"/>
      <c r="O22" s="139"/>
      <c r="P22" s="179"/>
      <c r="Q22" s="180"/>
      <c r="R22" s="139"/>
      <c r="S22" s="139"/>
      <c r="T22" s="139"/>
      <c r="U22" s="139"/>
    </row>
    <row r="23" ht="19.5" customHeight="1">
      <c r="A23" s="139"/>
      <c r="B23" s="174"/>
      <c r="C23" s="154">
        <v>95900.0</v>
      </c>
      <c r="D23" s="155" t="s">
        <v>92</v>
      </c>
      <c r="E23" s="156" t="s">
        <v>40</v>
      </c>
      <c r="F23" s="156" t="s">
        <v>41</v>
      </c>
      <c r="G23" s="156" t="s">
        <v>35</v>
      </c>
      <c r="H23" s="160" t="s">
        <v>17</v>
      </c>
      <c r="I23" s="139"/>
      <c r="O23" s="139"/>
      <c r="P23" s="179"/>
      <c r="Q23" s="180"/>
      <c r="R23" s="139"/>
      <c r="S23" s="139"/>
      <c r="T23" s="139"/>
      <c r="U23" s="139"/>
    </row>
    <row r="24" ht="19.5" customHeight="1">
      <c r="A24" s="139"/>
      <c r="B24" s="174"/>
      <c r="C24" s="154">
        <v>92500.0</v>
      </c>
      <c r="D24" s="155" t="s">
        <v>93</v>
      </c>
      <c r="E24" s="156" t="s">
        <v>35</v>
      </c>
      <c r="F24" s="156" t="s">
        <v>36</v>
      </c>
      <c r="G24" s="156" t="s">
        <v>35</v>
      </c>
      <c r="H24" s="160" t="s">
        <v>17</v>
      </c>
      <c r="I24" s="139"/>
      <c r="O24" s="139"/>
      <c r="P24" s="179"/>
      <c r="Q24" s="180"/>
      <c r="R24" s="139"/>
      <c r="S24" s="139"/>
      <c r="T24" s="139"/>
      <c r="U24" s="139"/>
    </row>
    <row r="25" ht="19.5" customHeight="1">
      <c r="A25" s="139"/>
      <c r="B25" s="174"/>
      <c r="C25" s="154">
        <v>12000.0</v>
      </c>
      <c r="D25" s="155" t="s">
        <v>94</v>
      </c>
      <c r="E25" s="156" t="s">
        <v>40</v>
      </c>
      <c r="F25" s="156" t="s">
        <v>42</v>
      </c>
      <c r="G25" s="156" t="s">
        <v>39</v>
      </c>
      <c r="H25" s="160" t="s">
        <v>26</v>
      </c>
      <c r="I25" s="139"/>
      <c r="O25" s="139"/>
      <c r="P25" s="179"/>
      <c r="Q25" s="180"/>
      <c r="R25" s="139"/>
      <c r="S25" s="139"/>
      <c r="T25" s="139"/>
      <c r="U25" s="139"/>
    </row>
    <row r="26" ht="19.5" customHeight="1">
      <c r="A26" s="139"/>
      <c r="B26" s="174"/>
      <c r="C26" s="154">
        <v>11500.0</v>
      </c>
      <c r="D26" s="155" t="s">
        <v>95</v>
      </c>
      <c r="E26" s="156" t="s">
        <v>40</v>
      </c>
      <c r="F26" s="156" t="s">
        <v>42</v>
      </c>
      <c r="G26" s="156" t="s">
        <v>39</v>
      </c>
      <c r="H26" s="160" t="s">
        <v>26</v>
      </c>
      <c r="I26" s="139"/>
      <c r="J26" s="179"/>
      <c r="K26" s="180"/>
      <c r="L26" s="139"/>
      <c r="M26" s="139"/>
      <c r="N26" s="139"/>
      <c r="O26" s="139"/>
      <c r="P26" s="179"/>
      <c r="Q26" s="180"/>
      <c r="R26" s="139"/>
      <c r="S26" s="139"/>
      <c r="T26" s="139"/>
      <c r="U26" s="139"/>
    </row>
    <row r="27" ht="19.5" customHeight="1">
      <c r="A27" s="139"/>
      <c r="B27" s="174"/>
      <c r="C27" s="154">
        <v>15000.0</v>
      </c>
      <c r="D27" s="155" t="s">
        <v>96</v>
      </c>
      <c r="E27" s="156" t="s">
        <v>40</v>
      </c>
      <c r="F27" s="156" t="s">
        <v>42</v>
      </c>
      <c r="G27" s="156" t="s">
        <v>35</v>
      </c>
      <c r="H27" s="160" t="s">
        <v>26</v>
      </c>
      <c r="I27" s="139"/>
      <c r="J27" s="179"/>
      <c r="K27" s="180"/>
      <c r="L27" s="139"/>
      <c r="M27" s="139"/>
      <c r="N27" s="139"/>
      <c r="O27" s="139"/>
      <c r="P27" s="179"/>
      <c r="Q27" s="180"/>
      <c r="R27" s="139"/>
      <c r="S27" s="139"/>
      <c r="T27" s="139"/>
      <c r="U27" s="139"/>
    </row>
    <row r="28" ht="19.5" customHeight="1">
      <c r="A28" s="139"/>
      <c r="B28" s="174"/>
      <c r="C28" s="154">
        <v>13000.0</v>
      </c>
      <c r="D28" s="155" t="s">
        <v>97</v>
      </c>
      <c r="E28" s="156" t="s">
        <v>40</v>
      </c>
      <c r="F28" s="156" t="s">
        <v>42</v>
      </c>
      <c r="G28" s="156" t="s">
        <v>35</v>
      </c>
      <c r="H28" s="160" t="s">
        <v>26</v>
      </c>
      <c r="I28" s="139"/>
      <c r="J28" s="179"/>
      <c r="K28" s="180"/>
      <c r="L28" s="139"/>
      <c r="M28" s="139"/>
      <c r="N28" s="139"/>
      <c r="O28" s="139"/>
      <c r="P28" s="179"/>
      <c r="Q28" s="180"/>
      <c r="R28" s="139"/>
      <c r="S28" s="139"/>
      <c r="T28" s="139"/>
      <c r="U28" s="139"/>
    </row>
    <row r="29" ht="19.5" customHeight="1">
      <c r="A29" s="139"/>
      <c r="B29" s="174">
        <v>46293.0</v>
      </c>
      <c r="C29" s="154">
        <v>25000.0</v>
      </c>
      <c r="D29" s="155" t="s">
        <v>78</v>
      </c>
      <c r="E29" s="156" t="s">
        <v>15</v>
      </c>
      <c r="F29" s="156" t="s">
        <v>18</v>
      </c>
      <c r="G29" s="156" t="s">
        <v>15</v>
      </c>
      <c r="H29" s="160" t="s">
        <v>17</v>
      </c>
      <c r="I29" s="139"/>
      <c r="J29" s="179"/>
      <c r="K29" s="180"/>
      <c r="L29" s="139"/>
      <c r="M29" s="181"/>
      <c r="N29" s="139"/>
      <c r="O29" s="139"/>
      <c r="P29" s="179"/>
      <c r="Q29" s="180"/>
      <c r="R29" s="139"/>
      <c r="S29" s="139"/>
      <c r="T29" s="139"/>
      <c r="U29" s="139"/>
    </row>
    <row r="30" ht="19.5" customHeight="1">
      <c r="A30" s="139"/>
      <c r="B30" s="174"/>
      <c r="C30" s="154">
        <v>12000.0</v>
      </c>
      <c r="D30" s="155" t="s">
        <v>98</v>
      </c>
      <c r="E30" s="156" t="s">
        <v>15</v>
      </c>
      <c r="F30" s="156" t="s">
        <v>24</v>
      </c>
      <c r="G30" s="156" t="s">
        <v>15</v>
      </c>
      <c r="H30" s="160" t="s">
        <v>17</v>
      </c>
      <c r="I30" s="139"/>
      <c r="J30" s="179"/>
      <c r="K30" s="180"/>
      <c r="L30" s="139"/>
      <c r="M30" s="139"/>
      <c r="N30" s="139"/>
      <c r="O30" s="139"/>
      <c r="P30" s="179"/>
      <c r="Q30" s="180"/>
      <c r="R30" s="139"/>
      <c r="S30" s="139"/>
      <c r="T30" s="139"/>
      <c r="U30" s="139"/>
    </row>
    <row r="31" ht="19.5" customHeight="1">
      <c r="A31" s="139"/>
      <c r="B31" s="174"/>
      <c r="C31" s="154">
        <v>1600000.0</v>
      </c>
      <c r="D31" s="155" t="s">
        <v>99</v>
      </c>
      <c r="E31" s="156" t="s">
        <v>50</v>
      </c>
      <c r="F31" s="156" t="s">
        <v>51</v>
      </c>
      <c r="G31" s="156" t="s">
        <v>50</v>
      </c>
      <c r="H31" s="160" t="s">
        <v>17</v>
      </c>
      <c r="I31" s="139"/>
      <c r="J31" s="179"/>
      <c r="K31" s="180"/>
      <c r="L31" s="139"/>
      <c r="M31" s="139"/>
      <c r="N31" s="139"/>
      <c r="O31" s="139"/>
      <c r="P31" s="179"/>
      <c r="Q31" s="180"/>
      <c r="R31" s="139"/>
      <c r="S31" s="139"/>
      <c r="T31" s="139"/>
      <c r="U31" s="139"/>
    </row>
    <row r="32" ht="19.5" customHeight="1">
      <c r="A32" s="139"/>
      <c r="B32" s="174"/>
      <c r="C32" s="154">
        <v>2500.0</v>
      </c>
      <c r="D32" s="155" t="s">
        <v>100</v>
      </c>
      <c r="E32" s="156" t="s">
        <v>55</v>
      </c>
      <c r="F32" s="156"/>
      <c r="G32" s="156" t="s">
        <v>50</v>
      </c>
      <c r="H32" s="160" t="s">
        <v>17</v>
      </c>
      <c r="I32" s="139"/>
      <c r="J32" s="179"/>
      <c r="K32" s="180"/>
      <c r="L32" s="139"/>
      <c r="M32" s="139"/>
      <c r="N32" s="139"/>
      <c r="O32" s="139"/>
      <c r="P32" s="179"/>
      <c r="Q32" s="180"/>
      <c r="R32" s="139"/>
      <c r="S32" s="139"/>
      <c r="T32" s="139"/>
      <c r="U32" s="139"/>
    </row>
    <row r="33" ht="19.5" customHeight="1">
      <c r="A33" s="139"/>
      <c r="B33" s="174"/>
      <c r="C33" s="154">
        <v>40950.0</v>
      </c>
      <c r="D33" s="155" t="s">
        <v>52</v>
      </c>
      <c r="E33" s="156" t="s">
        <v>50</v>
      </c>
      <c r="F33" s="156" t="s">
        <v>52</v>
      </c>
      <c r="G33" s="156" t="s">
        <v>50</v>
      </c>
      <c r="H33" s="160" t="s">
        <v>17</v>
      </c>
      <c r="I33" s="139"/>
      <c r="J33" s="179"/>
      <c r="K33" s="180"/>
      <c r="L33" s="139"/>
      <c r="M33" s="139"/>
      <c r="N33" s="139"/>
      <c r="O33" s="139"/>
      <c r="P33" s="179"/>
      <c r="Q33" s="180"/>
      <c r="R33" s="139"/>
      <c r="S33" s="139"/>
      <c r="T33" s="139"/>
      <c r="U33" s="139"/>
    </row>
    <row r="34" ht="19.5" customHeight="1">
      <c r="A34" s="139"/>
      <c r="B34" s="174"/>
      <c r="C34" s="154">
        <f>72900-26244</f>
        <v>46656</v>
      </c>
      <c r="D34" s="155" t="s">
        <v>93</v>
      </c>
      <c r="E34" s="156" t="s">
        <v>15</v>
      </c>
      <c r="F34" s="156" t="s">
        <v>21</v>
      </c>
      <c r="G34" s="156" t="s">
        <v>15</v>
      </c>
      <c r="H34" s="160" t="s">
        <v>29</v>
      </c>
      <c r="I34" s="139"/>
      <c r="J34" s="179"/>
      <c r="K34" s="180"/>
      <c r="L34" s="139"/>
      <c r="M34" s="139"/>
      <c r="N34" s="139"/>
      <c r="O34" s="139"/>
      <c r="P34" s="179"/>
      <c r="Q34" s="180"/>
      <c r="R34" s="139"/>
      <c r="S34" s="139"/>
      <c r="T34" s="139"/>
      <c r="U34" s="139"/>
    </row>
    <row r="35" ht="19.5" customHeight="1">
      <c r="A35" s="139"/>
      <c r="B35" s="174"/>
      <c r="C35" s="154">
        <v>7000.0</v>
      </c>
      <c r="D35" s="155" t="s">
        <v>101</v>
      </c>
      <c r="E35" s="156" t="s">
        <v>15</v>
      </c>
      <c r="F35" s="156" t="s">
        <v>30</v>
      </c>
      <c r="G35" s="156" t="s">
        <v>15</v>
      </c>
      <c r="H35" s="160" t="s">
        <v>29</v>
      </c>
      <c r="I35" s="139"/>
      <c r="J35" s="179"/>
      <c r="K35" s="180"/>
      <c r="L35" s="139"/>
      <c r="M35" s="139"/>
      <c r="N35" s="139"/>
      <c r="O35" s="139"/>
      <c r="P35" s="179"/>
      <c r="Q35" s="180"/>
      <c r="R35" s="139"/>
      <c r="S35" s="139"/>
      <c r="T35" s="139"/>
      <c r="U35" s="139"/>
    </row>
    <row r="36" ht="19.5" customHeight="1">
      <c r="A36" s="139"/>
      <c r="B36" s="174"/>
      <c r="C36" s="154">
        <v>4000.0</v>
      </c>
      <c r="D36" s="155" t="s">
        <v>102</v>
      </c>
      <c r="E36" s="156" t="s">
        <v>15</v>
      </c>
      <c r="F36" s="156" t="s">
        <v>33</v>
      </c>
      <c r="G36" s="156" t="s">
        <v>15</v>
      </c>
      <c r="H36" s="160" t="s">
        <v>29</v>
      </c>
      <c r="I36" s="139"/>
      <c r="J36" s="179"/>
      <c r="K36" s="180"/>
      <c r="L36" s="139"/>
      <c r="M36" s="139"/>
      <c r="N36" s="139"/>
      <c r="O36" s="139"/>
      <c r="P36" s="179"/>
      <c r="Q36" s="180"/>
      <c r="R36" s="139"/>
      <c r="S36" s="139"/>
      <c r="T36" s="139"/>
      <c r="U36" s="139"/>
    </row>
    <row r="37" ht="19.5" customHeight="1">
      <c r="A37" s="139"/>
      <c r="B37" s="174">
        <v>46294.0</v>
      </c>
      <c r="C37" s="154">
        <v>23000.0</v>
      </c>
      <c r="D37" s="155" t="s">
        <v>103</v>
      </c>
      <c r="E37" s="156" t="s">
        <v>50</v>
      </c>
      <c r="F37" s="156" t="s">
        <v>53</v>
      </c>
      <c r="G37" s="156" t="s">
        <v>50</v>
      </c>
      <c r="H37" s="160" t="s">
        <v>17</v>
      </c>
      <c r="I37" s="139"/>
      <c r="J37" s="179"/>
      <c r="K37" s="180"/>
      <c r="L37" s="139"/>
      <c r="M37" s="139"/>
      <c r="N37" s="139"/>
      <c r="O37" s="139"/>
      <c r="P37" s="179"/>
      <c r="Q37" s="180"/>
      <c r="R37" s="139"/>
      <c r="S37" s="139"/>
      <c r="T37" s="139"/>
      <c r="U37" s="139"/>
    </row>
    <row r="38" ht="19.5" customHeight="1">
      <c r="A38" s="139"/>
      <c r="B38" s="174"/>
      <c r="C38" s="154">
        <v>25000.0</v>
      </c>
      <c r="D38" s="155" t="s">
        <v>78</v>
      </c>
      <c r="E38" s="156" t="s">
        <v>15</v>
      </c>
      <c r="F38" s="156"/>
      <c r="G38" s="156" t="s">
        <v>15</v>
      </c>
      <c r="H38" s="160" t="s">
        <v>26</v>
      </c>
      <c r="I38" s="139"/>
      <c r="J38" s="179"/>
      <c r="K38" s="180"/>
      <c r="L38" s="139"/>
      <c r="M38" s="139"/>
      <c r="N38" s="139"/>
      <c r="O38" s="139"/>
      <c r="P38" s="179"/>
      <c r="Q38" s="180"/>
      <c r="R38" s="139"/>
      <c r="S38" s="139"/>
      <c r="T38" s="139"/>
      <c r="U38" s="139"/>
    </row>
    <row r="39" ht="19.5" customHeight="1">
      <c r="A39" s="139"/>
      <c r="B39" s="182"/>
      <c r="C39" s="183">
        <v>12000.0</v>
      </c>
      <c r="D39" s="155" t="s">
        <v>104</v>
      </c>
      <c r="E39" s="156" t="s">
        <v>15</v>
      </c>
      <c r="F39" s="156"/>
      <c r="G39" s="156" t="s">
        <v>15</v>
      </c>
      <c r="H39" s="160" t="s">
        <v>26</v>
      </c>
      <c r="I39" s="139"/>
      <c r="J39" s="179"/>
      <c r="K39" s="180"/>
      <c r="L39" s="139"/>
      <c r="M39" s="139"/>
      <c r="N39" s="139"/>
      <c r="O39" s="139"/>
      <c r="P39" s="179"/>
      <c r="Q39" s="180"/>
      <c r="R39" s="139"/>
      <c r="S39" s="139"/>
      <c r="T39" s="139"/>
      <c r="U39" s="139"/>
    </row>
    <row r="40" ht="19.5" customHeight="1">
      <c r="A40" s="139"/>
      <c r="B40" s="184"/>
      <c r="C40" s="185">
        <v>38222.0</v>
      </c>
      <c r="D40" s="186" t="s">
        <v>93</v>
      </c>
      <c r="E40" s="156" t="s">
        <v>15</v>
      </c>
      <c r="F40" s="156" t="s">
        <v>21</v>
      </c>
      <c r="G40" s="156" t="s">
        <v>15</v>
      </c>
      <c r="H40" s="160" t="s">
        <v>29</v>
      </c>
      <c r="I40" s="139"/>
      <c r="J40" s="179"/>
      <c r="K40" s="180"/>
      <c r="L40" s="139"/>
      <c r="M40" s="139"/>
      <c r="N40" s="139"/>
      <c r="O40" s="139"/>
      <c r="P40" s="179"/>
      <c r="Q40" s="180"/>
      <c r="R40" s="139"/>
      <c r="S40" s="139"/>
      <c r="T40" s="139"/>
      <c r="U40" s="139"/>
    </row>
    <row r="41" ht="19.5" customHeight="1">
      <c r="A41" s="139"/>
      <c r="B41" s="187"/>
      <c r="C41" s="185">
        <v>6000.0</v>
      </c>
      <c r="D41" s="155" t="s">
        <v>101</v>
      </c>
      <c r="E41" s="156" t="s">
        <v>15</v>
      </c>
      <c r="F41" s="156" t="s">
        <v>30</v>
      </c>
      <c r="G41" s="156" t="s">
        <v>15</v>
      </c>
      <c r="H41" s="160" t="s">
        <v>29</v>
      </c>
      <c r="I41" s="139"/>
      <c r="J41" s="179"/>
      <c r="K41" s="180"/>
      <c r="L41" s="139"/>
      <c r="M41" s="139"/>
      <c r="N41" s="139"/>
      <c r="O41" s="139"/>
      <c r="P41" s="179"/>
      <c r="Q41" s="180"/>
      <c r="R41" s="139"/>
      <c r="S41" s="139"/>
      <c r="T41" s="139"/>
      <c r="U41" s="139"/>
    </row>
    <row r="42" ht="19.5" customHeight="1">
      <c r="A42" s="139"/>
      <c r="B42" s="187"/>
      <c r="C42" s="185">
        <v>3500.0</v>
      </c>
      <c r="D42" s="155" t="s">
        <v>102</v>
      </c>
      <c r="E42" s="156" t="s">
        <v>15</v>
      </c>
      <c r="F42" s="156" t="s">
        <v>33</v>
      </c>
      <c r="G42" s="156" t="s">
        <v>15</v>
      </c>
      <c r="H42" s="160" t="s">
        <v>29</v>
      </c>
      <c r="I42" s="139"/>
      <c r="J42" s="179"/>
      <c r="K42" s="180"/>
      <c r="L42" s="139"/>
      <c r="M42" s="139"/>
      <c r="N42" s="139"/>
      <c r="O42" s="139"/>
      <c r="P42" s="179"/>
      <c r="Q42" s="180"/>
      <c r="R42" s="139"/>
      <c r="S42" s="139"/>
      <c r="T42" s="139"/>
      <c r="U42" s="139"/>
    </row>
    <row r="43" ht="19.5" customHeight="1">
      <c r="A43" s="139"/>
      <c r="B43" s="188">
        <v>46295.0</v>
      </c>
      <c r="C43" s="185">
        <v>25000.0</v>
      </c>
      <c r="D43" s="155" t="s">
        <v>78</v>
      </c>
      <c r="E43" s="156" t="s">
        <v>15</v>
      </c>
      <c r="F43" s="156"/>
      <c r="G43" s="156" t="s">
        <v>15</v>
      </c>
      <c r="H43" s="160" t="s">
        <v>17</v>
      </c>
      <c r="I43" s="139"/>
      <c r="J43" s="179"/>
      <c r="K43" s="180"/>
      <c r="L43" s="139"/>
      <c r="M43" s="139"/>
      <c r="N43" s="139"/>
      <c r="O43" s="139"/>
      <c r="P43" s="179"/>
      <c r="Q43" s="180"/>
      <c r="R43" s="139"/>
      <c r="S43" s="139"/>
      <c r="T43" s="139"/>
      <c r="U43" s="139"/>
    </row>
    <row r="44" ht="19.5" customHeight="1">
      <c r="A44" s="139"/>
      <c r="B44" s="188"/>
      <c r="C44" s="185">
        <v>12000.0</v>
      </c>
      <c r="D44" s="189" t="s">
        <v>104</v>
      </c>
      <c r="E44" s="156" t="s">
        <v>15</v>
      </c>
      <c r="F44" s="156"/>
      <c r="G44" s="156" t="s">
        <v>15</v>
      </c>
      <c r="H44" s="160" t="s">
        <v>17</v>
      </c>
      <c r="I44" s="139"/>
      <c r="J44" s="179"/>
      <c r="K44" s="180"/>
      <c r="L44" s="139"/>
      <c r="M44" s="139"/>
      <c r="N44" s="139"/>
      <c r="O44" s="139"/>
      <c r="P44" s="179"/>
      <c r="Q44" s="180"/>
      <c r="R44" s="139"/>
      <c r="S44" s="139"/>
      <c r="T44" s="139"/>
      <c r="U44" s="139"/>
    </row>
    <row r="45" ht="19.5" customHeight="1">
      <c r="A45" s="139"/>
      <c r="B45" s="188"/>
      <c r="C45" s="185">
        <v>15000.0</v>
      </c>
      <c r="D45" s="190" t="s">
        <v>93</v>
      </c>
      <c r="E45" s="156" t="s">
        <v>15</v>
      </c>
      <c r="F45" s="156" t="s">
        <v>21</v>
      </c>
      <c r="G45" s="156" t="s">
        <v>15</v>
      </c>
      <c r="H45" s="160" t="s">
        <v>17</v>
      </c>
      <c r="I45" s="139"/>
      <c r="J45" s="179"/>
      <c r="K45" s="180"/>
      <c r="L45" s="139"/>
      <c r="M45" s="139"/>
      <c r="N45" s="139"/>
      <c r="O45" s="139"/>
      <c r="P45" s="179"/>
      <c r="Q45" s="180"/>
      <c r="R45" s="139"/>
      <c r="S45" s="139"/>
      <c r="T45" s="139"/>
      <c r="U45" s="139"/>
    </row>
    <row r="46" ht="19.5" customHeight="1">
      <c r="A46" s="139"/>
      <c r="B46" s="188"/>
      <c r="C46" s="185">
        <v>127300.0</v>
      </c>
      <c r="D46" s="190" t="s">
        <v>105</v>
      </c>
      <c r="E46" s="191"/>
      <c r="F46" s="156"/>
      <c r="G46" s="156" t="s">
        <v>15</v>
      </c>
      <c r="H46" s="160" t="s">
        <v>17</v>
      </c>
      <c r="I46" s="139"/>
      <c r="J46" s="179"/>
      <c r="K46" s="180"/>
      <c r="L46" s="139"/>
      <c r="M46" s="139"/>
      <c r="N46" s="139"/>
      <c r="O46" s="139"/>
      <c r="P46" s="179"/>
      <c r="Q46" s="180"/>
      <c r="R46" s="139"/>
      <c r="S46" s="139"/>
      <c r="T46" s="139"/>
      <c r="U46" s="139"/>
    </row>
    <row r="47" ht="19.5" customHeight="1">
      <c r="A47" s="139"/>
      <c r="B47" s="188"/>
      <c r="C47" s="185">
        <v>199900.0</v>
      </c>
      <c r="D47" s="190" t="s">
        <v>106</v>
      </c>
      <c r="E47" s="156" t="s">
        <v>50</v>
      </c>
      <c r="F47" s="156" t="s">
        <v>54</v>
      </c>
      <c r="G47" s="156" t="s">
        <v>50</v>
      </c>
      <c r="H47" s="160" t="s">
        <v>26</v>
      </c>
      <c r="I47" s="139"/>
      <c r="J47" s="179"/>
      <c r="K47" s="180"/>
      <c r="L47" s="139"/>
      <c r="M47" s="139"/>
      <c r="N47" s="139"/>
      <c r="O47" s="139"/>
      <c r="P47" s="179"/>
      <c r="Q47" s="180"/>
      <c r="R47" s="139"/>
      <c r="S47" s="139"/>
      <c r="T47" s="139"/>
      <c r="U47" s="139"/>
    </row>
    <row r="48" ht="19.5" customHeight="1">
      <c r="A48" s="139"/>
      <c r="B48" s="188"/>
      <c r="C48" s="185">
        <v>6000.0</v>
      </c>
      <c r="D48" s="190" t="s">
        <v>107</v>
      </c>
      <c r="E48" s="170" t="s">
        <v>55</v>
      </c>
      <c r="F48" s="156"/>
      <c r="G48" s="156" t="s">
        <v>46</v>
      </c>
      <c r="H48" s="160" t="s">
        <v>20</v>
      </c>
      <c r="I48" s="139"/>
      <c r="J48" s="179"/>
      <c r="K48" s="180"/>
      <c r="L48" s="139"/>
      <c r="M48" s="139"/>
      <c r="N48" s="139"/>
      <c r="O48" s="139"/>
      <c r="P48" s="179"/>
      <c r="Q48" s="180"/>
      <c r="R48" s="139"/>
      <c r="S48" s="139"/>
      <c r="T48" s="139"/>
      <c r="U48" s="139"/>
    </row>
    <row r="49" ht="19.5" customHeight="1">
      <c r="A49" s="139"/>
      <c r="B49" s="188">
        <v>46296.0</v>
      </c>
      <c r="C49" s="185">
        <v>19000.0</v>
      </c>
      <c r="D49" s="190" t="s">
        <v>108</v>
      </c>
      <c r="E49" s="156" t="s">
        <v>46</v>
      </c>
      <c r="F49" s="156"/>
      <c r="G49" s="156" t="s">
        <v>46</v>
      </c>
      <c r="H49" s="160" t="s">
        <v>26</v>
      </c>
      <c r="I49" s="139"/>
      <c r="J49" s="179"/>
      <c r="K49" s="180"/>
      <c r="L49" s="139"/>
      <c r="M49" s="139"/>
      <c r="N49" s="139"/>
      <c r="O49" s="139"/>
      <c r="P49" s="179"/>
      <c r="Q49" s="180"/>
      <c r="R49" s="139"/>
      <c r="S49" s="139"/>
      <c r="T49" s="139"/>
      <c r="U49" s="139"/>
    </row>
    <row r="50" ht="19.5" customHeight="1">
      <c r="A50" s="139"/>
      <c r="B50" s="188"/>
      <c r="C50" s="185">
        <f>104550-43911</f>
        <v>60639</v>
      </c>
      <c r="D50" s="190" t="s">
        <v>109</v>
      </c>
      <c r="E50" s="192" t="s">
        <v>15</v>
      </c>
      <c r="F50" s="192" t="s">
        <v>21</v>
      </c>
      <c r="G50" s="164" t="s">
        <v>15</v>
      </c>
      <c r="H50" s="193" t="s">
        <v>29</v>
      </c>
      <c r="I50" s="139"/>
      <c r="J50" s="179"/>
      <c r="K50" s="180"/>
      <c r="L50" s="139"/>
      <c r="M50" s="139"/>
      <c r="N50" s="139"/>
      <c r="O50" s="139"/>
      <c r="P50" s="179"/>
      <c r="Q50" s="180"/>
      <c r="R50" s="139"/>
      <c r="S50" s="139"/>
      <c r="T50" s="139"/>
      <c r="U50" s="139"/>
    </row>
    <row r="51" ht="19.5" customHeight="1">
      <c r="A51" s="139"/>
      <c r="B51" s="187"/>
      <c r="C51" s="194">
        <v>1000.0</v>
      </c>
      <c r="D51" s="190" t="s">
        <v>101</v>
      </c>
      <c r="E51" s="195" t="s">
        <v>15</v>
      </c>
      <c r="F51" s="195" t="s">
        <v>30</v>
      </c>
      <c r="G51" s="164" t="s">
        <v>15</v>
      </c>
      <c r="H51" s="196" t="s">
        <v>29</v>
      </c>
      <c r="I51" s="139"/>
      <c r="J51" s="179"/>
      <c r="K51" s="180"/>
      <c r="L51" s="139"/>
      <c r="M51" s="139"/>
      <c r="N51" s="139"/>
      <c r="O51" s="139"/>
      <c r="P51" s="179"/>
      <c r="Q51" s="180"/>
      <c r="R51" s="139"/>
      <c r="S51" s="139"/>
      <c r="T51" s="139"/>
      <c r="U51" s="139"/>
    </row>
    <row r="52" ht="19.5" customHeight="1">
      <c r="A52" s="139"/>
      <c r="B52" s="187"/>
      <c r="C52" s="194">
        <v>4000.0</v>
      </c>
      <c r="D52" s="190" t="s">
        <v>102</v>
      </c>
      <c r="E52" s="192" t="s">
        <v>15</v>
      </c>
      <c r="F52" s="192" t="s">
        <v>33</v>
      </c>
      <c r="G52" s="164" t="s">
        <v>15</v>
      </c>
      <c r="H52" s="193" t="s">
        <v>29</v>
      </c>
      <c r="I52" s="139"/>
      <c r="J52" s="179"/>
      <c r="K52" s="180"/>
      <c r="L52" s="139"/>
      <c r="M52" s="139"/>
      <c r="N52" s="139"/>
      <c r="O52" s="139"/>
      <c r="P52" s="179"/>
      <c r="Q52" s="180"/>
      <c r="R52" s="139"/>
      <c r="S52" s="139"/>
      <c r="T52" s="139"/>
      <c r="U52" s="139"/>
    </row>
    <row r="53" ht="19.5" customHeight="1">
      <c r="A53" s="139"/>
      <c r="B53" s="188">
        <v>46297.0</v>
      </c>
      <c r="C53" s="194">
        <v>48000.0</v>
      </c>
      <c r="D53" s="190" t="s">
        <v>90</v>
      </c>
      <c r="E53" s="170" t="s">
        <v>15</v>
      </c>
      <c r="F53" s="170" t="s">
        <v>24</v>
      </c>
      <c r="G53" s="164" t="s">
        <v>15</v>
      </c>
      <c r="H53" s="171" t="s">
        <v>17</v>
      </c>
      <c r="I53" s="139"/>
      <c r="J53" s="179"/>
      <c r="K53" s="180"/>
      <c r="L53" s="139"/>
      <c r="M53" s="139"/>
      <c r="N53" s="139"/>
      <c r="O53" s="139"/>
      <c r="P53" s="179"/>
      <c r="Q53" s="180"/>
      <c r="R53" s="139"/>
      <c r="S53" s="139"/>
      <c r="T53" s="139"/>
      <c r="U53" s="139"/>
    </row>
    <row r="54" ht="19.5" customHeight="1">
      <c r="A54" s="139"/>
      <c r="B54" s="187"/>
      <c r="C54" s="194">
        <v>15000.0</v>
      </c>
      <c r="D54" s="190" t="s">
        <v>78</v>
      </c>
      <c r="E54" s="170" t="s">
        <v>15</v>
      </c>
      <c r="F54" s="170" t="s">
        <v>18</v>
      </c>
      <c r="G54" s="164" t="s">
        <v>15</v>
      </c>
      <c r="H54" s="171" t="s">
        <v>17</v>
      </c>
      <c r="I54" s="139"/>
      <c r="J54" s="179"/>
      <c r="K54" s="180"/>
      <c r="L54" s="139"/>
      <c r="M54" s="139"/>
      <c r="N54" s="139"/>
      <c r="O54" s="139"/>
      <c r="P54" s="179"/>
      <c r="Q54" s="180"/>
      <c r="R54" s="139"/>
      <c r="S54" s="139"/>
      <c r="T54" s="139"/>
      <c r="U54" s="139"/>
    </row>
    <row r="55" ht="19.5" customHeight="1">
      <c r="A55" s="139"/>
      <c r="B55" s="187"/>
      <c r="C55" s="194">
        <v>10000.0</v>
      </c>
      <c r="D55" s="190" t="s">
        <v>110</v>
      </c>
      <c r="E55" s="170" t="s">
        <v>55</v>
      </c>
      <c r="F55" s="197"/>
      <c r="G55" s="170" t="s">
        <v>46</v>
      </c>
      <c r="H55" s="171" t="s">
        <v>17</v>
      </c>
      <c r="I55" s="139"/>
      <c r="J55" s="179"/>
      <c r="K55" s="180"/>
      <c r="L55" s="139"/>
      <c r="M55" s="139"/>
      <c r="N55" s="139"/>
      <c r="O55" s="139"/>
      <c r="P55" s="179"/>
      <c r="Q55" s="180"/>
      <c r="R55" s="139"/>
      <c r="S55" s="139"/>
      <c r="T55" s="139"/>
      <c r="U55" s="139"/>
    </row>
    <row r="56" ht="19.5" customHeight="1">
      <c r="A56" s="139"/>
      <c r="B56" s="188">
        <v>46298.0</v>
      </c>
      <c r="C56" s="194">
        <v>800000.0</v>
      </c>
      <c r="D56" s="190" t="s">
        <v>111</v>
      </c>
      <c r="E56" s="170" t="s">
        <v>35</v>
      </c>
      <c r="F56" s="170" t="s">
        <v>36</v>
      </c>
      <c r="G56" s="170" t="s">
        <v>35</v>
      </c>
      <c r="H56" s="171" t="s">
        <v>17</v>
      </c>
      <c r="I56" s="139"/>
      <c r="J56" s="179"/>
      <c r="K56" s="180"/>
      <c r="L56" s="139"/>
      <c r="M56" s="139"/>
      <c r="N56" s="139"/>
      <c r="O56" s="139"/>
      <c r="P56" s="179"/>
      <c r="Q56" s="180"/>
      <c r="R56" s="139"/>
      <c r="S56" s="139"/>
      <c r="T56" s="139"/>
      <c r="U56" s="139"/>
    </row>
    <row r="57" ht="19.5" customHeight="1">
      <c r="A57" s="139"/>
      <c r="B57" s="188"/>
      <c r="C57" s="194">
        <v>20669.0</v>
      </c>
      <c r="D57" s="190"/>
      <c r="E57" s="170" t="s">
        <v>45</v>
      </c>
      <c r="F57" s="170"/>
      <c r="G57" s="170" t="s">
        <v>39</v>
      </c>
      <c r="H57" s="171" t="s">
        <v>26</v>
      </c>
      <c r="I57" s="139"/>
      <c r="J57" s="179"/>
      <c r="K57" s="180"/>
      <c r="L57" s="139"/>
      <c r="M57" s="139"/>
      <c r="N57" s="139"/>
      <c r="O57" s="139"/>
      <c r="P57" s="179"/>
      <c r="Q57" s="180"/>
      <c r="R57" s="139"/>
      <c r="S57" s="139"/>
      <c r="T57" s="139"/>
      <c r="U57" s="139"/>
    </row>
    <row r="58" ht="19.5" customHeight="1">
      <c r="A58" s="139"/>
      <c r="B58" s="188"/>
      <c r="C58" s="194">
        <f>109550-43820</f>
        <v>65730</v>
      </c>
      <c r="D58" s="190" t="s">
        <v>109</v>
      </c>
      <c r="E58" s="170" t="s">
        <v>15</v>
      </c>
      <c r="F58" s="170" t="s">
        <v>18</v>
      </c>
      <c r="G58" s="170" t="s">
        <v>15</v>
      </c>
      <c r="H58" s="171" t="s">
        <v>29</v>
      </c>
      <c r="I58" s="139"/>
      <c r="J58" s="179"/>
      <c r="K58" s="180"/>
      <c r="L58" s="139"/>
      <c r="M58" s="139"/>
      <c r="N58" s="139"/>
      <c r="O58" s="139"/>
      <c r="P58" s="179"/>
      <c r="Q58" s="180"/>
      <c r="R58" s="139"/>
      <c r="S58" s="139"/>
      <c r="T58" s="139"/>
      <c r="U58" s="139"/>
    </row>
    <row r="59" ht="19.5" customHeight="1">
      <c r="A59" s="139"/>
      <c r="B59" s="188"/>
      <c r="C59" s="194">
        <v>2000.0</v>
      </c>
      <c r="D59" s="190" t="s">
        <v>101</v>
      </c>
      <c r="E59" s="195" t="s">
        <v>15</v>
      </c>
      <c r="F59" s="195" t="s">
        <v>30</v>
      </c>
      <c r="G59" s="170" t="s">
        <v>15</v>
      </c>
      <c r="H59" s="196" t="s">
        <v>29</v>
      </c>
      <c r="I59" s="139"/>
      <c r="J59" s="179"/>
      <c r="K59" s="180"/>
      <c r="L59" s="139"/>
      <c r="M59" s="139"/>
      <c r="N59" s="139"/>
      <c r="O59" s="139"/>
      <c r="P59" s="179"/>
      <c r="Q59" s="180"/>
      <c r="R59" s="139"/>
      <c r="S59" s="139"/>
      <c r="T59" s="139"/>
      <c r="U59" s="139"/>
    </row>
    <row r="60" ht="19.5" customHeight="1">
      <c r="A60" s="139"/>
      <c r="B60" s="188"/>
      <c r="C60" s="194">
        <v>4000.0</v>
      </c>
      <c r="D60" s="190" t="s">
        <v>102</v>
      </c>
      <c r="E60" s="192" t="s">
        <v>15</v>
      </c>
      <c r="F60" s="192" t="s">
        <v>33</v>
      </c>
      <c r="G60" s="170" t="s">
        <v>15</v>
      </c>
      <c r="H60" s="193" t="s">
        <v>29</v>
      </c>
      <c r="I60" s="139"/>
      <c r="J60" s="179"/>
      <c r="K60" s="180"/>
      <c r="L60" s="139"/>
      <c r="M60" s="139"/>
      <c r="N60" s="139"/>
      <c r="O60" s="139"/>
      <c r="P60" s="179"/>
      <c r="Q60" s="180"/>
      <c r="R60" s="139"/>
      <c r="S60" s="139"/>
      <c r="T60" s="139"/>
      <c r="U60" s="139"/>
    </row>
    <row r="61" ht="19.5" customHeight="1">
      <c r="A61" s="139"/>
      <c r="B61" s="188">
        <v>46299.0</v>
      </c>
      <c r="C61" s="194">
        <f>105802-42321</f>
        <v>63481</v>
      </c>
      <c r="D61" s="198" t="s">
        <v>109</v>
      </c>
      <c r="E61" s="195" t="s">
        <v>15</v>
      </c>
      <c r="F61" s="195" t="s">
        <v>18</v>
      </c>
      <c r="G61" s="170" t="s">
        <v>15</v>
      </c>
      <c r="H61" s="196" t="s">
        <v>29</v>
      </c>
      <c r="I61" s="139"/>
      <c r="J61" s="179"/>
      <c r="K61" s="180"/>
      <c r="L61" s="139"/>
      <c r="M61" s="139"/>
      <c r="N61" s="139"/>
      <c r="O61" s="139"/>
      <c r="P61" s="179"/>
      <c r="Q61" s="180"/>
      <c r="R61" s="139"/>
      <c r="S61" s="139"/>
      <c r="T61" s="139"/>
      <c r="U61" s="139"/>
    </row>
    <row r="62" ht="19.5" customHeight="1">
      <c r="A62" s="139"/>
      <c r="B62" s="188"/>
      <c r="C62" s="194">
        <v>4000.0</v>
      </c>
      <c r="D62" s="199" t="s">
        <v>101</v>
      </c>
      <c r="E62" s="200" t="s">
        <v>15</v>
      </c>
      <c r="F62" s="200" t="s">
        <v>30</v>
      </c>
      <c r="G62" s="170" t="s">
        <v>15</v>
      </c>
      <c r="H62" s="201" t="s">
        <v>29</v>
      </c>
      <c r="I62" s="139"/>
      <c r="J62" s="179"/>
      <c r="K62" s="180"/>
      <c r="L62" s="139"/>
      <c r="M62" s="139"/>
      <c r="N62" s="139"/>
      <c r="O62" s="139"/>
      <c r="P62" s="179"/>
      <c r="Q62" s="180"/>
      <c r="R62" s="139"/>
      <c r="S62" s="139"/>
      <c r="T62" s="139"/>
      <c r="U62" s="139"/>
    </row>
    <row r="63" ht="19.5" customHeight="1">
      <c r="A63" s="139"/>
      <c r="B63" s="188"/>
      <c r="C63" s="194">
        <v>11500.0</v>
      </c>
      <c r="D63" s="198" t="s">
        <v>102</v>
      </c>
      <c r="E63" s="202" t="s">
        <v>15</v>
      </c>
      <c r="F63" s="202" t="s">
        <v>33</v>
      </c>
      <c r="G63" s="170" t="s">
        <v>15</v>
      </c>
      <c r="H63" s="203" t="s">
        <v>29</v>
      </c>
      <c r="I63" s="139"/>
      <c r="J63" s="179"/>
      <c r="K63" s="180"/>
      <c r="L63" s="139"/>
      <c r="M63" s="139"/>
      <c r="N63" s="139"/>
      <c r="O63" s="139"/>
      <c r="P63" s="179"/>
      <c r="Q63" s="180"/>
      <c r="R63" s="139"/>
      <c r="S63" s="139"/>
      <c r="T63" s="139"/>
      <c r="U63" s="139"/>
    </row>
    <row r="64" ht="19.5" customHeight="1">
      <c r="A64" s="139"/>
      <c r="B64" s="188">
        <v>46300.0</v>
      </c>
      <c r="C64" s="194">
        <v>500000.0</v>
      </c>
      <c r="D64" s="155" t="s">
        <v>112</v>
      </c>
      <c r="E64" s="156" t="s">
        <v>35</v>
      </c>
      <c r="F64" s="156" t="s">
        <v>38</v>
      </c>
      <c r="G64" s="170" t="s">
        <v>16</v>
      </c>
      <c r="H64" s="160" t="s">
        <v>17</v>
      </c>
      <c r="I64" s="139"/>
      <c r="J64" s="179"/>
      <c r="K64" s="180"/>
      <c r="L64" s="139"/>
      <c r="M64" s="139"/>
      <c r="N64" s="139"/>
      <c r="O64" s="139"/>
      <c r="P64" s="179"/>
      <c r="Q64" s="180"/>
      <c r="R64" s="139"/>
      <c r="S64" s="139"/>
      <c r="T64" s="139"/>
      <c r="U64" s="139"/>
    </row>
    <row r="65" ht="19.5" customHeight="1">
      <c r="A65" s="139"/>
      <c r="B65" s="188"/>
      <c r="C65" s="194">
        <f>100300-40120</f>
        <v>60180</v>
      </c>
      <c r="D65" s="155" t="s">
        <v>109</v>
      </c>
      <c r="E65" s="156" t="s">
        <v>15</v>
      </c>
      <c r="F65" s="156" t="s">
        <v>18</v>
      </c>
      <c r="G65" s="170" t="s">
        <v>15</v>
      </c>
      <c r="H65" s="160" t="s">
        <v>29</v>
      </c>
      <c r="I65" s="139"/>
      <c r="J65" s="179"/>
      <c r="K65" s="180"/>
      <c r="L65" s="139"/>
      <c r="M65" s="139"/>
      <c r="N65" s="139"/>
      <c r="O65" s="139"/>
      <c r="P65" s="179"/>
      <c r="Q65" s="180"/>
      <c r="R65" s="139"/>
      <c r="S65" s="139"/>
      <c r="T65" s="139"/>
      <c r="U65" s="139"/>
    </row>
    <row r="66" ht="19.5" customHeight="1">
      <c r="A66" s="139"/>
      <c r="B66" s="188"/>
      <c r="C66" s="194">
        <v>6000.0</v>
      </c>
      <c r="D66" s="199" t="s">
        <v>101</v>
      </c>
      <c r="E66" s="200" t="s">
        <v>15</v>
      </c>
      <c r="F66" s="200" t="s">
        <v>30</v>
      </c>
      <c r="G66" s="170" t="s">
        <v>15</v>
      </c>
      <c r="H66" s="201" t="s">
        <v>29</v>
      </c>
      <c r="I66" s="139"/>
      <c r="J66" s="179"/>
      <c r="K66" s="180"/>
      <c r="L66" s="139"/>
      <c r="M66" s="139"/>
      <c r="N66" s="139"/>
      <c r="O66" s="139"/>
      <c r="P66" s="179"/>
      <c r="Q66" s="180"/>
      <c r="R66" s="139"/>
      <c r="S66" s="139"/>
      <c r="T66" s="139"/>
      <c r="U66" s="139"/>
    </row>
    <row r="67" ht="19.5" customHeight="1">
      <c r="A67" s="139"/>
      <c r="B67" s="188"/>
      <c r="C67" s="194">
        <v>3500.0</v>
      </c>
      <c r="D67" s="198" t="s">
        <v>102</v>
      </c>
      <c r="E67" s="202" t="s">
        <v>15</v>
      </c>
      <c r="F67" s="202" t="s">
        <v>33</v>
      </c>
      <c r="G67" s="170" t="s">
        <v>15</v>
      </c>
      <c r="H67" s="203" t="s">
        <v>29</v>
      </c>
      <c r="I67" s="139"/>
      <c r="J67" s="179"/>
      <c r="K67" s="180"/>
      <c r="L67" s="139"/>
      <c r="M67" s="139"/>
      <c r="N67" s="139"/>
      <c r="O67" s="139"/>
      <c r="P67" s="179"/>
      <c r="Q67" s="180"/>
      <c r="R67" s="139"/>
      <c r="S67" s="139"/>
      <c r="T67" s="139"/>
      <c r="U67" s="139"/>
    </row>
    <row r="68" ht="19.5" customHeight="1">
      <c r="A68" s="139"/>
      <c r="B68" s="188">
        <v>46301.0</v>
      </c>
      <c r="C68" s="194">
        <v>20000.0</v>
      </c>
      <c r="D68" s="155" t="s">
        <v>78</v>
      </c>
      <c r="E68" s="202" t="s">
        <v>15</v>
      </c>
      <c r="F68" s="156" t="s">
        <v>18</v>
      </c>
      <c r="G68" s="170" t="s">
        <v>15</v>
      </c>
      <c r="H68" s="160" t="s">
        <v>17</v>
      </c>
      <c r="I68" s="139"/>
      <c r="J68" s="179"/>
      <c r="K68" s="180"/>
      <c r="L68" s="139"/>
      <c r="M68" s="139"/>
      <c r="N68" s="139"/>
      <c r="O68" s="139"/>
      <c r="P68" s="179"/>
      <c r="Q68" s="180"/>
      <c r="R68" s="139"/>
      <c r="S68" s="139"/>
      <c r="T68" s="139"/>
      <c r="U68" s="139"/>
    </row>
    <row r="69" ht="19.5" customHeight="1">
      <c r="A69" s="139"/>
      <c r="B69" s="188"/>
      <c r="C69" s="194">
        <v>12000.0</v>
      </c>
      <c r="D69" s="155" t="s">
        <v>104</v>
      </c>
      <c r="E69" s="156" t="s">
        <v>15</v>
      </c>
      <c r="F69" s="156" t="s">
        <v>24</v>
      </c>
      <c r="G69" s="170" t="s">
        <v>15</v>
      </c>
      <c r="H69" s="160" t="s">
        <v>17</v>
      </c>
      <c r="I69" s="139"/>
      <c r="J69" s="179"/>
      <c r="K69" s="180"/>
      <c r="L69" s="139"/>
      <c r="M69" s="139"/>
      <c r="N69" s="139"/>
      <c r="O69" s="139"/>
      <c r="P69" s="179"/>
      <c r="Q69" s="180"/>
      <c r="R69" s="139"/>
      <c r="S69" s="139"/>
      <c r="T69" s="139"/>
      <c r="U69" s="139"/>
    </row>
    <row r="70" ht="19.5" customHeight="1">
      <c r="A70" s="139"/>
      <c r="B70" s="188"/>
      <c r="C70" s="194">
        <v>29000.0</v>
      </c>
      <c r="D70" s="155" t="s">
        <v>82</v>
      </c>
      <c r="E70" s="156" t="s">
        <v>15</v>
      </c>
      <c r="F70" s="156"/>
      <c r="G70" s="170" t="s">
        <v>15</v>
      </c>
      <c r="H70" s="160" t="s">
        <v>17</v>
      </c>
      <c r="I70" s="139"/>
      <c r="J70" s="179"/>
      <c r="K70" s="180"/>
      <c r="L70" s="139"/>
      <c r="M70" s="139"/>
      <c r="N70" s="139"/>
      <c r="O70" s="139"/>
      <c r="P70" s="179"/>
      <c r="Q70" s="180"/>
      <c r="R70" s="139"/>
      <c r="S70" s="139"/>
      <c r="T70" s="139"/>
      <c r="U70" s="139"/>
    </row>
    <row r="71" ht="19.5" customHeight="1">
      <c r="A71" s="139"/>
      <c r="B71" s="188"/>
      <c r="C71" s="194">
        <v>21500.0</v>
      </c>
      <c r="D71" s="155" t="s">
        <v>93</v>
      </c>
      <c r="E71" s="156" t="s">
        <v>15</v>
      </c>
      <c r="F71" s="156" t="s">
        <v>21</v>
      </c>
      <c r="G71" s="170" t="s">
        <v>15</v>
      </c>
      <c r="H71" s="193" t="s">
        <v>17</v>
      </c>
      <c r="I71" s="139"/>
      <c r="J71" s="179"/>
      <c r="K71" s="180"/>
      <c r="L71" s="139"/>
      <c r="M71" s="139"/>
      <c r="N71" s="139"/>
      <c r="O71" s="139"/>
      <c r="P71" s="179"/>
      <c r="Q71" s="180"/>
      <c r="R71" s="139"/>
      <c r="S71" s="139"/>
      <c r="T71" s="139"/>
      <c r="U71" s="139"/>
    </row>
    <row r="72" ht="19.5" customHeight="1">
      <c r="A72" s="139"/>
      <c r="B72" s="188"/>
      <c r="C72" s="194">
        <v>38000.0</v>
      </c>
      <c r="D72" s="155" t="s">
        <v>113</v>
      </c>
      <c r="E72" s="156" t="s">
        <v>56</v>
      </c>
      <c r="F72" s="157"/>
      <c r="G72" s="170" t="s">
        <v>56</v>
      </c>
      <c r="H72" s="160" t="s">
        <v>26</v>
      </c>
      <c r="I72" s="139"/>
      <c r="J72" s="179"/>
      <c r="K72" s="180"/>
      <c r="L72" s="139"/>
      <c r="M72" s="139"/>
      <c r="N72" s="139"/>
      <c r="O72" s="139"/>
      <c r="P72" s="179"/>
      <c r="Q72" s="180"/>
      <c r="R72" s="139"/>
      <c r="S72" s="139"/>
      <c r="T72" s="139"/>
      <c r="U72" s="139"/>
    </row>
    <row r="73" ht="19.5" customHeight="1">
      <c r="A73" s="139"/>
      <c r="B73" s="188"/>
      <c r="C73" s="194">
        <v>85520.0</v>
      </c>
      <c r="D73" s="155" t="s">
        <v>114</v>
      </c>
      <c r="E73" s="156" t="s">
        <v>15</v>
      </c>
      <c r="F73" s="157"/>
      <c r="G73" s="170" t="s">
        <v>15</v>
      </c>
      <c r="H73" s="160" t="s">
        <v>26</v>
      </c>
      <c r="I73" s="139"/>
      <c r="J73" s="179"/>
      <c r="K73" s="180"/>
      <c r="L73" s="139"/>
      <c r="M73" s="139"/>
      <c r="N73" s="139"/>
      <c r="O73" s="139"/>
      <c r="P73" s="179"/>
      <c r="Q73" s="180"/>
      <c r="R73" s="139"/>
      <c r="S73" s="139"/>
      <c r="T73" s="139"/>
      <c r="U73" s="139"/>
    </row>
    <row r="74" ht="19.5" customHeight="1">
      <c r="A74" s="139"/>
      <c r="B74" s="188"/>
      <c r="C74" s="194">
        <v>33600.0</v>
      </c>
      <c r="D74" s="155" t="s">
        <v>115</v>
      </c>
      <c r="E74" s="156" t="s">
        <v>50</v>
      </c>
      <c r="F74" s="156" t="s">
        <v>53</v>
      </c>
      <c r="G74" s="170" t="s">
        <v>50</v>
      </c>
      <c r="H74" s="160" t="s">
        <v>26</v>
      </c>
      <c r="I74" s="139"/>
      <c r="J74" s="179"/>
      <c r="K74" s="180"/>
      <c r="L74" s="139"/>
      <c r="M74" s="139"/>
      <c r="N74" s="139"/>
      <c r="O74" s="139"/>
      <c r="P74" s="179"/>
      <c r="Q74" s="180"/>
      <c r="R74" s="139"/>
      <c r="S74" s="139"/>
      <c r="T74" s="139"/>
      <c r="U74" s="139"/>
    </row>
    <row r="75" ht="19.5" customHeight="1">
      <c r="A75" s="139"/>
      <c r="B75" s="188"/>
      <c r="C75" s="194">
        <v>3000.0</v>
      </c>
      <c r="D75" s="155" t="s">
        <v>116</v>
      </c>
      <c r="E75" s="156" t="s">
        <v>55</v>
      </c>
      <c r="F75" s="156"/>
      <c r="G75" s="170" t="s">
        <v>15</v>
      </c>
      <c r="H75" s="160" t="s">
        <v>26</v>
      </c>
      <c r="I75" s="139"/>
      <c r="J75" s="179"/>
      <c r="K75" s="180"/>
      <c r="L75" s="139"/>
      <c r="M75" s="139"/>
      <c r="N75" s="139"/>
      <c r="O75" s="139"/>
      <c r="P75" s="179"/>
      <c r="Q75" s="180"/>
      <c r="R75" s="139"/>
      <c r="S75" s="139"/>
      <c r="T75" s="139"/>
      <c r="U75" s="139"/>
    </row>
    <row r="76" ht="19.5" customHeight="1">
      <c r="A76" s="139"/>
      <c r="B76" s="188">
        <v>46302.0</v>
      </c>
      <c r="C76" s="194">
        <v>21000.0</v>
      </c>
      <c r="D76" s="155" t="s">
        <v>78</v>
      </c>
      <c r="E76" s="156" t="s">
        <v>15</v>
      </c>
      <c r="F76" s="156" t="s">
        <v>18</v>
      </c>
      <c r="G76" s="170" t="s">
        <v>15</v>
      </c>
      <c r="H76" s="160" t="s">
        <v>17</v>
      </c>
      <c r="I76" s="139"/>
      <c r="J76" s="179"/>
      <c r="K76" s="180"/>
      <c r="L76" s="139"/>
      <c r="M76" s="139"/>
      <c r="N76" s="139"/>
      <c r="O76" s="139"/>
      <c r="P76" s="179"/>
      <c r="Q76" s="180"/>
      <c r="R76" s="139"/>
      <c r="S76" s="139"/>
      <c r="T76" s="139"/>
      <c r="U76" s="139"/>
    </row>
    <row r="77" ht="19.5" customHeight="1">
      <c r="A77" s="139"/>
      <c r="B77" s="188"/>
      <c r="C77" s="194">
        <v>12000.0</v>
      </c>
      <c r="D77" s="155" t="s">
        <v>104</v>
      </c>
      <c r="E77" s="156" t="s">
        <v>15</v>
      </c>
      <c r="F77" s="156" t="s">
        <v>24</v>
      </c>
      <c r="G77" s="170" t="s">
        <v>15</v>
      </c>
      <c r="H77" s="160" t="s">
        <v>17</v>
      </c>
      <c r="I77" s="139"/>
      <c r="J77" s="179"/>
      <c r="K77" s="180"/>
      <c r="L77" s="139"/>
      <c r="M77" s="139"/>
      <c r="N77" s="139"/>
      <c r="O77" s="139"/>
      <c r="P77" s="179"/>
      <c r="Q77" s="180"/>
      <c r="R77" s="139"/>
      <c r="S77" s="139"/>
      <c r="T77" s="139"/>
      <c r="U77" s="139"/>
    </row>
    <row r="78" ht="19.5" customHeight="1">
      <c r="A78" s="139"/>
      <c r="B78" s="188"/>
      <c r="C78" s="194">
        <v>44000.0</v>
      </c>
      <c r="D78" s="155" t="s">
        <v>93</v>
      </c>
      <c r="E78" s="156" t="s">
        <v>15</v>
      </c>
      <c r="F78" s="156" t="s">
        <v>21</v>
      </c>
      <c r="G78" s="170" t="s">
        <v>15</v>
      </c>
      <c r="H78" s="160" t="s">
        <v>26</v>
      </c>
      <c r="I78" s="139"/>
      <c r="J78" s="179"/>
      <c r="K78" s="180"/>
      <c r="L78" s="139"/>
      <c r="M78" s="139"/>
      <c r="N78" s="139"/>
      <c r="O78" s="139"/>
      <c r="P78" s="179"/>
      <c r="Q78" s="180"/>
      <c r="R78" s="139"/>
      <c r="S78" s="139"/>
      <c r="T78" s="139"/>
      <c r="U78" s="139"/>
    </row>
    <row r="79" ht="19.5" customHeight="1">
      <c r="A79" s="139"/>
      <c r="B79" s="188"/>
      <c r="C79" s="194">
        <v>5000.0</v>
      </c>
      <c r="D79" s="155" t="s">
        <v>117</v>
      </c>
      <c r="E79" s="156" t="s">
        <v>35</v>
      </c>
      <c r="F79" s="156" t="s">
        <v>37</v>
      </c>
      <c r="G79" s="170" t="s">
        <v>15</v>
      </c>
      <c r="H79" s="160" t="s">
        <v>26</v>
      </c>
      <c r="I79" s="139"/>
      <c r="J79" s="179"/>
      <c r="K79" s="180"/>
      <c r="L79" s="139"/>
      <c r="M79" s="139"/>
      <c r="N79" s="139"/>
      <c r="O79" s="139"/>
      <c r="P79" s="179"/>
      <c r="Q79" s="180"/>
      <c r="R79" s="139"/>
      <c r="S79" s="139"/>
      <c r="T79" s="139"/>
      <c r="U79" s="139"/>
    </row>
    <row r="80" ht="19.5" customHeight="1">
      <c r="A80" s="139"/>
      <c r="B80" s="188">
        <v>46303.0</v>
      </c>
      <c r="C80" s="194">
        <v>25000.0</v>
      </c>
      <c r="D80" s="198" t="s">
        <v>78</v>
      </c>
      <c r="E80" s="204" t="s">
        <v>15</v>
      </c>
      <c r="F80" s="195" t="s">
        <v>18</v>
      </c>
      <c r="G80" s="204" t="s">
        <v>15</v>
      </c>
      <c r="H80" s="196" t="s">
        <v>17</v>
      </c>
      <c r="I80" s="139"/>
      <c r="J80" s="179"/>
      <c r="K80" s="180"/>
      <c r="L80" s="139"/>
      <c r="M80" s="139"/>
      <c r="N80" s="139"/>
      <c r="O80" s="139"/>
      <c r="P80" s="179"/>
      <c r="Q80" s="180"/>
      <c r="R80" s="139"/>
      <c r="S80" s="139"/>
      <c r="T80" s="139"/>
      <c r="U80" s="139"/>
    </row>
    <row r="81" ht="19.5" customHeight="1">
      <c r="A81" s="139"/>
      <c r="B81" s="188"/>
      <c r="C81" s="194">
        <v>12000.0</v>
      </c>
      <c r="D81" s="199" t="s">
        <v>104</v>
      </c>
      <c r="E81" s="205" t="s">
        <v>15</v>
      </c>
      <c r="F81" s="192" t="s">
        <v>24</v>
      </c>
      <c r="G81" s="205" t="s">
        <v>15</v>
      </c>
      <c r="H81" s="193" t="s">
        <v>17</v>
      </c>
      <c r="I81" s="139"/>
      <c r="J81" s="179"/>
      <c r="K81" s="180"/>
      <c r="L81" s="139"/>
      <c r="M81" s="139"/>
      <c r="N81" s="139"/>
      <c r="O81" s="139"/>
      <c r="P81" s="179"/>
      <c r="Q81" s="180"/>
      <c r="R81" s="139"/>
      <c r="S81" s="139"/>
      <c r="T81" s="139"/>
      <c r="U81" s="139"/>
    </row>
    <row r="82" ht="19.5" customHeight="1">
      <c r="A82" s="139"/>
      <c r="B82" s="188"/>
      <c r="C82" s="194">
        <v>15000.0</v>
      </c>
      <c r="D82" s="206" t="s">
        <v>118</v>
      </c>
      <c r="E82" s="205" t="s">
        <v>15</v>
      </c>
      <c r="F82" s="192" t="s">
        <v>24</v>
      </c>
      <c r="G82" s="205" t="s">
        <v>15</v>
      </c>
      <c r="H82" s="193" t="s">
        <v>17</v>
      </c>
      <c r="I82" s="139"/>
      <c r="J82" s="179"/>
      <c r="K82" s="180"/>
      <c r="L82" s="139"/>
      <c r="M82" s="139"/>
      <c r="N82" s="139"/>
      <c r="O82" s="139"/>
      <c r="P82" s="179"/>
      <c r="Q82" s="180"/>
      <c r="R82" s="139"/>
      <c r="S82" s="139"/>
      <c r="T82" s="139"/>
      <c r="U82" s="139"/>
    </row>
    <row r="83" ht="19.5" customHeight="1">
      <c r="A83" s="139"/>
      <c r="B83" s="188"/>
      <c r="C83" s="194">
        <v>21000.0</v>
      </c>
      <c r="D83" s="155" t="s">
        <v>93</v>
      </c>
      <c r="E83" s="156" t="s">
        <v>15</v>
      </c>
      <c r="F83" s="156" t="s">
        <v>21</v>
      </c>
      <c r="G83" s="170" t="s">
        <v>15</v>
      </c>
      <c r="H83" s="193" t="s">
        <v>17</v>
      </c>
      <c r="I83" s="139"/>
      <c r="J83" s="179"/>
      <c r="K83" s="180"/>
      <c r="L83" s="139"/>
      <c r="M83" s="139"/>
      <c r="N83" s="139"/>
      <c r="O83" s="139"/>
      <c r="P83" s="179"/>
      <c r="Q83" s="180"/>
      <c r="R83" s="139"/>
      <c r="S83" s="139"/>
      <c r="T83" s="139"/>
      <c r="U83" s="139"/>
    </row>
    <row r="84" ht="19.5" customHeight="1">
      <c r="A84" s="139"/>
      <c r="B84" s="188">
        <v>46304.0</v>
      </c>
      <c r="C84" s="194">
        <v>15000.0</v>
      </c>
      <c r="D84" s="155" t="s">
        <v>119</v>
      </c>
      <c r="E84" s="156" t="s">
        <v>15</v>
      </c>
      <c r="F84" s="156" t="s">
        <v>18</v>
      </c>
      <c r="G84" s="170" t="s">
        <v>15</v>
      </c>
      <c r="H84" s="193" t="s">
        <v>17</v>
      </c>
      <c r="I84" s="139"/>
      <c r="J84" s="179"/>
      <c r="K84" s="180"/>
      <c r="L84" s="139"/>
      <c r="M84" s="139"/>
      <c r="N84" s="139"/>
      <c r="O84" s="139"/>
      <c r="P84" s="179"/>
      <c r="Q84" s="180"/>
      <c r="R84" s="139"/>
      <c r="S84" s="139"/>
      <c r="T84" s="139"/>
      <c r="U84" s="139"/>
    </row>
    <row r="85" ht="19.5" customHeight="1">
      <c r="A85" s="139"/>
      <c r="B85" s="188"/>
      <c r="C85" s="194">
        <v>55000.0</v>
      </c>
      <c r="D85" s="155" t="s">
        <v>90</v>
      </c>
      <c r="E85" s="156" t="s">
        <v>15</v>
      </c>
      <c r="F85" s="156" t="s">
        <v>24</v>
      </c>
      <c r="G85" s="170" t="s">
        <v>15</v>
      </c>
      <c r="H85" s="193" t="s">
        <v>17</v>
      </c>
      <c r="I85" s="139"/>
      <c r="J85" s="179"/>
      <c r="K85" s="180"/>
      <c r="L85" s="139"/>
      <c r="M85" s="139"/>
      <c r="N85" s="139"/>
      <c r="O85" s="139"/>
      <c r="P85" s="179"/>
      <c r="Q85" s="180"/>
      <c r="R85" s="139"/>
      <c r="S85" s="139"/>
      <c r="T85" s="139"/>
      <c r="U85" s="139"/>
    </row>
    <row r="86" ht="19.5" customHeight="1">
      <c r="A86" s="139"/>
      <c r="B86" s="188"/>
      <c r="C86" s="194">
        <v>35200.0</v>
      </c>
      <c r="D86" s="155" t="s">
        <v>120</v>
      </c>
      <c r="E86" s="156" t="s">
        <v>15</v>
      </c>
      <c r="F86" s="156" t="s">
        <v>24</v>
      </c>
      <c r="G86" s="170" t="s">
        <v>15</v>
      </c>
      <c r="H86" s="193" t="s">
        <v>17</v>
      </c>
      <c r="I86" s="139"/>
      <c r="J86" s="179"/>
      <c r="K86" s="180"/>
      <c r="L86" s="139"/>
      <c r="M86" s="139"/>
      <c r="N86" s="139"/>
      <c r="O86" s="139"/>
      <c r="P86" s="179"/>
      <c r="Q86" s="180"/>
      <c r="R86" s="139"/>
      <c r="S86" s="139"/>
      <c r="T86" s="139"/>
      <c r="U86" s="139"/>
    </row>
    <row r="87" ht="19.5" customHeight="1">
      <c r="A87" s="139"/>
      <c r="B87" s="188"/>
      <c r="C87" s="194">
        <v>97900.0</v>
      </c>
      <c r="D87" s="155" t="s">
        <v>121</v>
      </c>
      <c r="E87" s="156" t="s">
        <v>35</v>
      </c>
      <c r="F87" s="156" t="s">
        <v>38</v>
      </c>
      <c r="G87" s="170" t="s">
        <v>15</v>
      </c>
      <c r="H87" s="193" t="s">
        <v>17</v>
      </c>
      <c r="I87" s="139"/>
      <c r="J87" s="179"/>
      <c r="K87" s="180"/>
      <c r="L87" s="139"/>
      <c r="M87" s="139"/>
      <c r="N87" s="139"/>
      <c r="O87" s="139"/>
      <c r="P87" s="179"/>
      <c r="Q87" s="180"/>
      <c r="R87" s="139"/>
      <c r="S87" s="139"/>
      <c r="T87" s="139"/>
      <c r="U87" s="139"/>
    </row>
    <row r="88" ht="19.5" customHeight="1">
      <c r="A88" s="139"/>
      <c r="B88" s="188"/>
      <c r="C88" s="194">
        <v>30000.0</v>
      </c>
      <c r="D88" s="155" t="s">
        <v>90</v>
      </c>
      <c r="E88" s="156" t="s">
        <v>15</v>
      </c>
      <c r="F88" s="156" t="s">
        <v>24</v>
      </c>
      <c r="G88" s="170" t="s">
        <v>15</v>
      </c>
      <c r="H88" s="193" t="s">
        <v>17</v>
      </c>
      <c r="I88" s="139"/>
      <c r="J88" s="179"/>
      <c r="K88" s="180"/>
      <c r="L88" s="139"/>
      <c r="M88" s="139"/>
      <c r="N88" s="139"/>
      <c r="O88" s="139"/>
      <c r="P88" s="179"/>
      <c r="Q88" s="180"/>
      <c r="R88" s="139"/>
      <c r="S88" s="139"/>
      <c r="T88" s="139"/>
      <c r="U88" s="139"/>
    </row>
    <row r="89" ht="19.5" customHeight="1">
      <c r="A89" s="139"/>
      <c r="B89" s="188"/>
      <c r="C89" s="194">
        <v>20000.0</v>
      </c>
      <c r="D89" s="155"/>
      <c r="E89" s="156" t="s">
        <v>35</v>
      </c>
      <c r="F89" s="156" t="s">
        <v>37</v>
      </c>
      <c r="G89" s="170" t="s">
        <v>15</v>
      </c>
      <c r="H89" s="171" t="s">
        <v>17</v>
      </c>
      <c r="I89" s="139"/>
      <c r="J89" s="179"/>
      <c r="K89" s="180"/>
      <c r="L89" s="139"/>
      <c r="M89" s="139"/>
      <c r="N89" s="139"/>
      <c r="O89" s="139"/>
      <c r="P89" s="179"/>
      <c r="Q89" s="180"/>
      <c r="R89" s="139"/>
      <c r="S89" s="139"/>
      <c r="T89" s="139"/>
      <c r="U89" s="139"/>
    </row>
    <row r="90" ht="19.5" customHeight="1">
      <c r="A90" s="139"/>
      <c r="B90" s="188"/>
      <c r="C90" s="194">
        <v>14500.0</v>
      </c>
      <c r="D90" s="155" t="s">
        <v>122</v>
      </c>
      <c r="E90" s="156" t="s">
        <v>40</v>
      </c>
      <c r="F90" s="156" t="s">
        <v>42</v>
      </c>
      <c r="G90" s="207"/>
      <c r="H90" s="171" t="s">
        <v>26</v>
      </c>
      <c r="I90" s="139"/>
      <c r="J90" s="179"/>
      <c r="K90" s="180"/>
      <c r="L90" s="139"/>
      <c r="M90" s="139"/>
      <c r="N90" s="139"/>
      <c r="O90" s="139"/>
      <c r="P90" s="179"/>
      <c r="Q90" s="180"/>
      <c r="R90" s="139"/>
      <c r="S90" s="139"/>
      <c r="T90" s="139"/>
      <c r="U90" s="139"/>
    </row>
    <row r="91" ht="19.5" customHeight="1">
      <c r="A91" s="139"/>
      <c r="B91" s="188"/>
      <c r="C91" s="194">
        <v>17000.0</v>
      </c>
      <c r="D91" s="155" t="s">
        <v>123</v>
      </c>
      <c r="E91" s="156" t="s">
        <v>40</v>
      </c>
      <c r="F91" s="156" t="s">
        <v>42</v>
      </c>
      <c r="G91" s="207"/>
      <c r="H91" s="171" t="s">
        <v>26</v>
      </c>
      <c r="I91" s="139"/>
      <c r="J91" s="179"/>
      <c r="K91" s="180"/>
      <c r="L91" s="139"/>
      <c r="M91" s="139"/>
      <c r="N91" s="139"/>
      <c r="O91" s="139"/>
      <c r="P91" s="179"/>
      <c r="Q91" s="180"/>
      <c r="R91" s="139"/>
      <c r="S91" s="139"/>
      <c r="T91" s="139"/>
      <c r="U91" s="139"/>
    </row>
    <row r="92" ht="19.5" customHeight="1">
      <c r="A92" s="139"/>
      <c r="B92" s="188"/>
      <c r="C92" s="194">
        <v>14500.0</v>
      </c>
      <c r="D92" s="155" t="s">
        <v>124</v>
      </c>
      <c r="E92" s="156" t="s">
        <v>40</v>
      </c>
      <c r="F92" s="156" t="s">
        <v>42</v>
      </c>
      <c r="G92" s="207"/>
      <c r="H92" s="171" t="s">
        <v>26</v>
      </c>
      <c r="I92" s="139"/>
      <c r="J92" s="179"/>
      <c r="K92" s="180"/>
      <c r="L92" s="139"/>
      <c r="M92" s="139"/>
      <c r="N92" s="139"/>
      <c r="O92" s="139"/>
      <c r="P92" s="179"/>
      <c r="Q92" s="180"/>
      <c r="R92" s="139"/>
      <c r="S92" s="139"/>
      <c r="T92" s="139"/>
      <c r="U92" s="139"/>
    </row>
    <row r="93" ht="19.5" customHeight="1">
      <c r="A93" s="139"/>
      <c r="B93" s="188"/>
      <c r="C93" s="194">
        <v>14500.0</v>
      </c>
      <c r="D93" s="155" t="s">
        <v>125</v>
      </c>
      <c r="E93" s="156" t="s">
        <v>40</v>
      </c>
      <c r="F93" s="156" t="s">
        <v>42</v>
      </c>
      <c r="G93" s="207"/>
      <c r="H93" s="171" t="s">
        <v>26</v>
      </c>
      <c r="I93" s="139"/>
      <c r="J93" s="179"/>
      <c r="K93" s="180"/>
      <c r="L93" s="139"/>
      <c r="M93" s="139"/>
      <c r="N93" s="139"/>
      <c r="O93" s="139"/>
      <c r="P93" s="179"/>
      <c r="Q93" s="180"/>
      <c r="R93" s="139"/>
      <c r="S93" s="139"/>
      <c r="T93" s="139"/>
      <c r="U93" s="139"/>
    </row>
    <row r="94" ht="19.5" customHeight="1">
      <c r="A94" s="139"/>
      <c r="B94" s="188"/>
      <c r="C94" s="194">
        <v>83250.0</v>
      </c>
      <c r="D94" s="155" t="s">
        <v>126</v>
      </c>
      <c r="E94" s="156" t="s">
        <v>46</v>
      </c>
      <c r="F94" s="156"/>
      <c r="G94" s="170" t="s">
        <v>46</v>
      </c>
      <c r="H94" s="171" t="s">
        <v>26</v>
      </c>
      <c r="I94" s="139"/>
      <c r="J94" s="179"/>
      <c r="K94" s="180"/>
      <c r="L94" s="139"/>
      <c r="M94" s="139"/>
      <c r="N94" s="139"/>
      <c r="O94" s="139"/>
      <c r="P94" s="179"/>
      <c r="Q94" s="180"/>
      <c r="R94" s="139"/>
      <c r="S94" s="139"/>
      <c r="T94" s="139"/>
      <c r="U94" s="139"/>
    </row>
    <row r="95" ht="19.5" customHeight="1">
      <c r="A95" s="139"/>
      <c r="C95" s="208">
        <f>SUM(Expenses[Amount])</f>
        <v>8601429</v>
      </c>
      <c r="D95" s="209"/>
      <c r="E95" s="209"/>
      <c r="F95" s="209"/>
      <c r="G95" s="209"/>
      <c r="H95" s="210"/>
      <c r="I95" s="139"/>
      <c r="J95" s="179"/>
      <c r="K95" s="180"/>
      <c r="L95" s="139"/>
      <c r="M95" s="139"/>
      <c r="N95" s="139"/>
      <c r="O95" s="139"/>
      <c r="P95" s="179"/>
      <c r="Q95" s="180"/>
      <c r="R95" s="139"/>
      <c r="S95" s="139"/>
      <c r="T95" s="139"/>
      <c r="U95" s="139"/>
    </row>
    <row r="96" ht="19.5" customHeight="1">
      <c r="A96" s="139"/>
      <c r="B96" s="179"/>
      <c r="C96" s="180"/>
      <c r="D96" s="144"/>
      <c r="E96" s="144"/>
      <c r="F96" s="144"/>
      <c r="G96" s="144"/>
      <c r="H96" s="144"/>
      <c r="I96" s="139"/>
      <c r="J96" s="179"/>
      <c r="K96" s="180"/>
      <c r="L96" s="139"/>
      <c r="M96" s="139"/>
      <c r="N96" s="139"/>
      <c r="O96" s="139"/>
      <c r="P96" s="179"/>
      <c r="Q96" s="180"/>
      <c r="R96" s="139"/>
      <c r="S96" s="139"/>
      <c r="T96" s="139"/>
      <c r="U96" s="139"/>
    </row>
    <row r="97" ht="19.5" customHeight="1">
      <c r="A97" s="139"/>
      <c r="B97" s="179"/>
      <c r="C97" s="180"/>
      <c r="D97" s="144"/>
      <c r="E97" s="144"/>
      <c r="F97" s="144"/>
      <c r="G97" s="144"/>
      <c r="H97" s="144"/>
      <c r="I97" s="139"/>
      <c r="J97" s="179"/>
      <c r="K97" s="180"/>
      <c r="L97" s="139"/>
      <c r="M97" s="139"/>
      <c r="N97" s="139"/>
      <c r="O97" s="139"/>
      <c r="P97" s="179"/>
      <c r="Q97" s="180"/>
      <c r="R97" s="139"/>
      <c r="S97" s="139"/>
      <c r="T97" s="139"/>
      <c r="U97" s="139"/>
    </row>
    <row r="98" ht="19.5" customHeight="1">
      <c r="A98" s="139"/>
      <c r="B98" s="179"/>
      <c r="C98" s="180"/>
      <c r="D98" s="144"/>
      <c r="E98" s="144"/>
      <c r="F98" s="144"/>
      <c r="G98" s="144"/>
      <c r="H98" s="144"/>
      <c r="I98" s="139"/>
      <c r="J98" s="179"/>
      <c r="K98" s="180"/>
      <c r="L98" s="139"/>
      <c r="M98" s="139"/>
      <c r="N98" s="139"/>
      <c r="O98" s="139"/>
      <c r="P98" s="179"/>
      <c r="Q98" s="180"/>
      <c r="R98" s="139"/>
      <c r="S98" s="139"/>
      <c r="T98" s="139"/>
      <c r="U98" s="139"/>
    </row>
    <row r="99" ht="19.5" customHeight="1">
      <c r="A99" s="139"/>
      <c r="B99" s="179"/>
      <c r="C99" s="180"/>
      <c r="D99" s="144"/>
      <c r="E99" s="144"/>
      <c r="F99" s="144"/>
      <c r="G99" s="144"/>
      <c r="H99" s="144"/>
      <c r="I99" s="139"/>
      <c r="J99" s="179"/>
      <c r="K99" s="180"/>
      <c r="L99" s="139"/>
      <c r="M99" s="139"/>
      <c r="N99" s="139"/>
      <c r="O99" s="139"/>
      <c r="P99" s="179"/>
      <c r="Q99" s="180"/>
      <c r="R99" s="139"/>
      <c r="S99" s="139"/>
      <c r="T99" s="139"/>
      <c r="U99" s="139"/>
    </row>
    <row r="100" ht="19.5" customHeight="1">
      <c r="A100" s="139"/>
      <c r="B100" s="179"/>
      <c r="C100" s="180"/>
      <c r="D100" s="144"/>
      <c r="E100" s="144"/>
      <c r="F100" s="144"/>
      <c r="G100" s="144"/>
      <c r="H100" s="144"/>
      <c r="I100" s="139"/>
      <c r="J100" s="179"/>
      <c r="K100" s="180"/>
      <c r="L100" s="139"/>
      <c r="M100" s="139"/>
      <c r="N100" s="139"/>
      <c r="O100" s="139"/>
      <c r="P100" s="179"/>
      <c r="Q100" s="180"/>
      <c r="R100" s="139"/>
      <c r="S100" s="139"/>
      <c r="T100" s="139"/>
      <c r="U100" s="139"/>
    </row>
    <row r="101" ht="19.5" customHeight="1">
      <c r="A101" s="139"/>
      <c r="B101" s="179"/>
      <c r="C101" s="180"/>
      <c r="D101" s="144"/>
      <c r="E101" s="144"/>
      <c r="F101" s="144"/>
      <c r="G101" s="144"/>
      <c r="H101" s="144"/>
      <c r="I101" s="139"/>
      <c r="J101" s="179"/>
      <c r="K101" s="180"/>
      <c r="L101" s="139"/>
      <c r="M101" s="139"/>
      <c r="N101" s="139"/>
      <c r="O101" s="139"/>
      <c r="P101" s="179"/>
      <c r="Q101" s="180"/>
      <c r="R101" s="139"/>
      <c r="S101" s="139"/>
      <c r="T101" s="139"/>
      <c r="U101" s="139"/>
    </row>
    <row r="102" ht="19.5" customHeight="1">
      <c r="A102" s="139"/>
      <c r="B102" s="179"/>
      <c r="C102" s="180"/>
      <c r="D102" s="144"/>
      <c r="E102" s="144"/>
      <c r="F102" s="144"/>
      <c r="G102" s="144"/>
      <c r="H102" s="144"/>
      <c r="I102" s="139"/>
      <c r="J102" s="179"/>
      <c r="K102" s="180"/>
      <c r="L102" s="139"/>
      <c r="M102" s="139"/>
      <c r="N102" s="139"/>
      <c r="O102" s="139"/>
      <c r="P102" s="179"/>
      <c r="Q102" s="180"/>
      <c r="R102" s="139"/>
      <c r="S102" s="139"/>
      <c r="T102" s="139"/>
      <c r="U102" s="139"/>
    </row>
    <row r="103" ht="19.5" customHeight="1">
      <c r="A103" s="139"/>
      <c r="B103" s="179"/>
      <c r="C103" s="180"/>
      <c r="D103" s="144"/>
      <c r="E103" s="144"/>
      <c r="F103" s="144"/>
      <c r="G103" s="144"/>
      <c r="H103" s="144"/>
      <c r="I103" s="139"/>
      <c r="J103" s="179"/>
      <c r="K103" s="180"/>
      <c r="L103" s="139"/>
      <c r="M103" s="139"/>
      <c r="N103" s="139"/>
      <c r="O103" s="139"/>
      <c r="P103" s="179"/>
      <c r="Q103" s="180"/>
      <c r="R103" s="139"/>
      <c r="S103" s="139"/>
      <c r="T103" s="139"/>
      <c r="U103" s="139"/>
    </row>
    <row r="104" ht="19.5" customHeight="1">
      <c r="A104" s="139"/>
      <c r="B104" s="179"/>
      <c r="C104" s="180"/>
      <c r="D104" s="144"/>
      <c r="E104" s="144"/>
      <c r="F104" s="144"/>
      <c r="G104" s="144"/>
      <c r="H104" s="144"/>
      <c r="I104" s="139"/>
      <c r="J104" s="179"/>
      <c r="K104" s="180"/>
      <c r="L104" s="139"/>
      <c r="M104" s="139"/>
      <c r="N104" s="139"/>
      <c r="O104" s="139"/>
      <c r="P104" s="179"/>
      <c r="Q104" s="180"/>
      <c r="R104" s="139"/>
      <c r="S104" s="139"/>
      <c r="T104" s="139"/>
      <c r="U104" s="139"/>
    </row>
    <row r="105" ht="19.5" customHeight="1">
      <c r="A105" s="139"/>
      <c r="B105" s="179"/>
      <c r="C105" s="180"/>
      <c r="D105" s="144"/>
      <c r="E105" s="144"/>
      <c r="F105" s="144"/>
      <c r="G105" s="144"/>
      <c r="H105" s="144"/>
      <c r="I105" s="139"/>
      <c r="J105" s="179"/>
      <c r="K105" s="180"/>
      <c r="L105" s="139"/>
      <c r="M105" s="139"/>
      <c r="N105" s="139"/>
      <c r="O105" s="139"/>
      <c r="P105" s="179"/>
      <c r="Q105" s="180"/>
      <c r="R105" s="139"/>
      <c r="S105" s="139"/>
      <c r="T105" s="139"/>
      <c r="U105" s="139"/>
    </row>
    <row r="106" ht="19.5" customHeight="1">
      <c r="A106" s="139"/>
      <c r="B106" s="179"/>
      <c r="C106" s="180"/>
      <c r="D106" s="144"/>
      <c r="E106" s="144"/>
      <c r="F106" s="144"/>
      <c r="G106" s="144"/>
      <c r="H106" s="144"/>
      <c r="I106" s="139"/>
      <c r="J106" s="179"/>
      <c r="K106" s="180"/>
      <c r="L106" s="139"/>
      <c r="M106" s="139"/>
      <c r="N106" s="139"/>
      <c r="O106" s="139"/>
      <c r="P106" s="179"/>
      <c r="Q106" s="180"/>
      <c r="R106" s="139"/>
      <c r="S106" s="139"/>
      <c r="T106" s="139"/>
      <c r="U106" s="139"/>
    </row>
    <row r="107" ht="19.5" customHeight="1">
      <c r="A107" s="139"/>
      <c r="B107" s="179"/>
      <c r="C107" s="180"/>
      <c r="D107" s="144"/>
      <c r="E107" s="144"/>
      <c r="F107" s="144"/>
      <c r="G107" s="144"/>
      <c r="H107" s="144"/>
      <c r="I107" s="139"/>
      <c r="J107" s="179"/>
      <c r="K107" s="180"/>
      <c r="L107" s="139"/>
      <c r="M107" s="139"/>
      <c r="N107" s="139"/>
      <c r="O107" s="139"/>
      <c r="P107" s="179"/>
      <c r="Q107" s="180"/>
      <c r="R107" s="139"/>
      <c r="S107" s="139"/>
      <c r="T107" s="139"/>
      <c r="U107" s="139"/>
    </row>
    <row r="108" ht="19.5" customHeight="1">
      <c r="A108" s="139"/>
      <c r="B108" s="179"/>
      <c r="C108" s="180"/>
      <c r="D108" s="144"/>
      <c r="E108" s="144"/>
      <c r="F108" s="144"/>
      <c r="G108" s="144"/>
      <c r="H108" s="144"/>
      <c r="I108" s="139"/>
      <c r="J108" s="179"/>
      <c r="K108" s="180"/>
      <c r="L108" s="139"/>
      <c r="M108" s="139"/>
      <c r="N108" s="139"/>
      <c r="O108" s="139"/>
      <c r="P108" s="179"/>
      <c r="Q108" s="180"/>
      <c r="R108" s="139"/>
      <c r="S108" s="139"/>
      <c r="T108" s="139"/>
      <c r="U108" s="139"/>
    </row>
    <row r="109" ht="19.5" customHeight="1">
      <c r="A109" s="139"/>
      <c r="B109" s="179"/>
      <c r="C109" s="180"/>
      <c r="D109" s="144"/>
      <c r="E109" s="144"/>
      <c r="F109" s="144"/>
      <c r="G109" s="144"/>
      <c r="H109" s="144"/>
      <c r="I109" s="139"/>
      <c r="J109" s="179"/>
      <c r="K109" s="180"/>
      <c r="L109" s="139"/>
      <c r="M109" s="139"/>
      <c r="N109" s="139"/>
      <c r="O109" s="139"/>
      <c r="P109" s="179"/>
      <c r="Q109" s="180"/>
      <c r="R109" s="139"/>
      <c r="S109" s="139"/>
      <c r="T109" s="139"/>
      <c r="U109" s="139"/>
    </row>
    <row r="110" ht="19.5" customHeight="1">
      <c r="A110" s="139"/>
      <c r="B110" s="179"/>
      <c r="C110" s="180"/>
      <c r="D110" s="144"/>
      <c r="E110" s="144"/>
      <c r="F110" s="144"/>
      <c r="G110" s="144"/>
      <c r="H110" s="144"/>
      <c r="I110" s="139"/>
      <c r="J110" s="179"/>
      <c r="K110" s="180"/>
      <c r="L110" s="139"/>
      <c r="M110" s="139"/>
      <c r="N110" s="139"/>
      <c r="O110" s="139"/>
      <c r="P110" s="179"/>
      <c r="Q110" s="180"/>
      <c r="R110" s="139"/>
      <c r="S110" s="139"/>
      <c r="T110" s="139"/>
      <c r="U110" s="139"/>
    </row>
    <row r="111" ht="19.5" customHeight="1">
      <c r="A111" s="139"/>
      <c r="B111" s="179"/>
      <c r="C111" s="180"/>
      <c r="D111" s="144"/>
      <c r="E111" s="144"/>
      <c r="F111" s="144"/>
      <c r="G111" s="144"/>
      <c r="H111" s="144"/>
      <c r="I111" s="139"/>
      <c r="J111" s="179"/>
      <c r="K111" s="180"/>
      <c r="L111" s="139"/>
      <c r="M111" s="139"/>
      <c r="N111" s="139"/>
      <c r="O111" s="139"/>
      <c r="P111" s="179"/>
      <c r="Q111" s="180"/>
      <c r="R111" s="139"/>
      <c r="S111" s="139"/>
      <c r="T111" s="139"/>
      <c r="U111" s="139"/>
    </row>
    <row r="112" ht="19.5" customHeight="1">
      <c r="A112" s="139"/>
      <c r="B112" s="179"/>
      <c r="C112" s="180"/>
      <c r="D112" s="144"/>
      <c r="E112" s="144"/>
      <c r="F112" s="144"/>
      <c r="G112" s="144"/>
      <c r="H112" s="144"/>
      <c r="I112" s="139"/>
      <c r="J112" s="179"/>
      <c r="K112" s="180"/>
      <c r="L112" s="139"/>
      <c r="M112" s="139"/>
      <c r="N112" s="139"/>
      <c r="O112" s="139"/>
      <c r="P112" s="179"/>
      <c r="Q112" s="180"/>
      <c r="R112" s="139"/>
      <c r="S112" s="139"/>
      <c r="T112" s="139"/>
      <c r="U112" s="139"/>
    </row>
  </sheetData>
  <mergeCells count="1">
    <mergeCell ref="B1:M1"/>
  </mergeCells>
  <conditionalFormatting sqref="B5:B112">
    <cfRule type="notContainsBlanks" dxfId="0" priority="1">
      <formula>LEN(TRIM(B5))&gt;0</formula>
    </cfRule>
  </conditionalFormatting>
  <conditionalFormatting sqref="B5:B112 J5:J112 P5:P112">
    <cfRule type="notContainsBlanks" dxfId="1" priority="2">
      <formula>LEN(TRIM(B5))&gt;0</formula>
    </cfRule>
  </conditionalFormatting>
  <dataValidations>
    <dataValidation type="list" allowBlank="1" sqref="M5:M10">
      <formula1>#REF!</formula1>
    </dataValidation>
    <dataValidation type="custom" allowBlank="1" showDropDown="1" sqref="J5:J10 P5:P15 B5:B94">
      <formula1>OR(NOT(ISERROR(DATEVALUE(B5))), AND(ISNUMBER(B5), LEFT(CELL("format", B5))="D"))</formula1>
    </dataValidation>
    <dataValidation type="custom" allowBlank="1" showDropDown="1" sqref="K5:K10 Q5:Q15 C5:C94">
      <formula1>AND(ISNUMBER(C5),(NOT(OR(NOT(ISERROR(DATEVALUE(C5))), AND(ISNUMBER(C5), LEFT(CELL("format", C5))="D")))))</formula1>
    </dataValidation>
    <dataValidation type="list" allowBlank="1" sqref="N5:N10 S5:T15 E5:H94">
      <formula1>#REF!</formula1>
    </dataValidation>
  </dataValidations>
  <drawing r:id="rId1"/>
  <tableParts count="3">
    <tablePart r:id="rId5"/>
    <tablePart r:id="rId6"/>
    <tablePart r:id="rId7"/>
  </tableParts>
</worksheet>
</file>